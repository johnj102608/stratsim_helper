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emfi\stratsim_helper\"/>
    </mc:Choice>
  </mc:AlternateContent>
  <xr:revisionPtr revIDLastSave="0" documentId="13_ncr:1_{684A6A36-90BB-4B2F-9D05-DBB27136B88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shboard" sheetId="27" r:id="rId1"/>
    <sheet name="Year 1" sheetId="18" r:id="rId2"/>
    <sheet name="Year 2" sheetId="42" r:id="rId3"/>
    <sheet name="Year 3" sheetId="43" r:id="rId4"/>
    <sheet name="Year 4" sheetId="44" r:id="rId5"/>
    <sheet name="Year 5" sheetId="45" r:id="rId6"/>
    <sheet name="Year 6" sheetId="46" r:id="rId7"/>
    <sheet name="Year 7" sheetId="47" r:id="rId8"/>
    <sheet name="Year 8" sheetId="4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27" l="1"/>
  <c r="K74" i="27"/>
  <c r="K73" i="27"/>
  <c r="K72" i="27"/>
  <c r="K71" i="27"/>
  <c r="K70" i="27"/>
  <c r="K69" i="27"/>
  <c r="K68" i="27"/>
  <c r="K67" i="27"/>
  <c r="K66" i="27"/>
  <c r="K65" i="27"/>
  <c r="K64" i="27"/>
  <c r="K63" i="27"/>
  <c r="K62" i="27"/>
  <c r="K61" i="27"/>
  <c r="K60" i="27"/>
  <c r="K59" i="27"/>
  <c r="K58" i="27"/>
  <c r="K57" i="27"/>
  <c r="K56" i="27"/>
  <c r="K55" i="27"/>
  <c r="K54" i="27"/>
  <c r="K53" i="27"/>
  <c r="K52" i="27"/>
  <c r="K51" i="27"/>
  <c r="K50" i="27"/>
  <c r="K49" i="27"/>
  <c r="K48" i="27"/>
  <c r="K47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60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F75" i="27"/>
  <c r="F74" i="27"/>
  <c r="F73" i="27"/>
  <c r="F72" i="27"/>
  <c r="F71" i="27"/>
  <c r="F70" i="27"/>
  <c r="F69" i="27"/>
  <c r="F68" i="27"/>
  <c r="F67" i="27"/>
  <c r="F66" i="27"/>
  <c r="F65" i="27"/>
  <c r="F64" i="27"/>
  <c r="F63" i="27"/>
  <c r="F62" i="27"/>
  <c r="F61" i="27"/>
  <c r="F60" i="27"/>
  <c r="F59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E75" i="27"/>
  <c r="E74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8" i="27"/>
  <c r="E47" i="27"/>
  <c r="J59" i="48"/>
  <c r="I59" i="48"/>
  <c r="H59" i="48"/>
  <c r="G59" i="48"/>
  <c r="F59" i="48"/>
  <c r="E59" i="48"/>
  <c r="D59" i="48"/>
  <c r="J57" i="48"/>
  <c r="I57" i="48"/>
  <c r="H57" i="48"/>
  <c r="G57" i="48"/>
  <c r="F57" i="48"/>
  <c r="E57" i="48"/>
  <c r="D57" i="48"/>
  <c r="J56" i="48"/>
  <c r="I56" i="48"/>
  <c r="H56" i="48"/>
  <c r="G56" i="48"/>
  <c r="F56" i="48"/>
  <c r="E56" i="48"/>
  <c r="D56" i="48"/>
  <c r="J55" i="48"/>
  <c r="I55" i="48"/>
  <c r="H55" i="48"/>
  <c r="G55" i="48"/>
  <c r="F55" i="48"/>
  <c r="E55" i="48"/>
  <c r="D55" i="48"/>
  <c r="J54" i="48"/>
  <c r="I54" i="48"/>
  <c r="H54" i="48"/>
  <c r="G54" i="48"/>
  <c r="F54" i="48"/>
  <c r="E54" i="48"/>
  <c r="D54" i="48"/>
  <c r="J52" i="48"/>
  <c r="J51" i="48"/>
  <c r="I51" i="48"/>
  <c r="H51" i="48"/>
  <c r="G51" i="48"/>
  <c r="F51" i="48"/>
  <c r="E51" i="48"/>
  <c r="D51" i="48"/>
  <c r="J50" i="48"/>
  <c r="I50" i="48"/>
  <c r="H50" i="48"/>
  <c r="G50" i="48"/>
  <c r="F50" i="48"/>
  <c r="E50" i="48"/>
  <c r="D50" i="48"/>
  <c r="J49" i="48"/>
  <c r="I49" i="48"/>
  <c r="H49" i="48"/>
  <c r="G49" i="48"/>
  <c r="F49" i="48"/>
  <c r="E49" i="48"/>
  <c r="D49" i="48"/>
  <c r="J48" i="48"/>
  <c r="I48" i="48"/>
  <c r="H48" i="48"/>
  <c r="G48" i="48"/>
  <c r="F48" i="48"/>
  <c r="E48" i="48"/>
  <c r="D48" i="48"/>
  <c r="J47" i="48"/>
  <c r="I47" i="48"/>
  <c r="H47" i="48"/>
  <c r="G47" i="48"/>
  <c r="F47" i="48"/>
  <c r="E47" i="48"/>
  <c r="D47" i="48"/>
  <c r="J46" i="48"/>
  <c r="I46" i="48"/>
  <c r="H46" i="48"/>
  <c r="G46" i="48"/>
  <c r="F46" i="48"/>
  <c r="E46" i="48"/>
  <c r="D46" i="48"/>
  <c r="J45" i="48"/>
  <c r="I45" i="48"/>
  <c r="H45" i="48"/>
  <c r="G45" i="48"/>
  <c r="F45" i="48"/>
  <c r="E45" i="48"/>
  <c r="D45" i="48"/>
  <c r="J44" i="48"/>
  <c r="I44" i="48"/>
  <c r="H44" i="48"/>
  <c r="G44" i="48"/>
  <c r="F44" i="48"/>
  <c r="E44" i="48"/>
  <c r="D44" i="48"/>
  <c r="J43" i="48"/>
  <c r="I43" i="48"/>
  <c r="H43" i="48"/>
  <c r="G43" i="48"/>
  <c r="F43" i="48"/>
  <c r="E43" i="48"/>
  <c r="D43" i="48"/>
  <c r="J42" i="48"/>
  <c r="I42" i="48"/>
  <c r="H42" i="48"/>
  <c r="G42" i="48"/>
  <c r="F42" i="48"/>
  <c r="E42" i="48"/>
  <c r="D42" i="48"/>
  <c r="J37" i="48"/>
  <c r="J53" i="48" s="1"/>
  <c r="I37" i="48"/>
  <c r="I53" i="48" s="1"/>
  <c r="H37" i="48"/>
  <c r="H53" i="48" s="1"/>
  <c r="G37" i="48"/>
  <c r="G53" i="48" s="1"/>
  <c r="F37" i="48"/>
  <c r="F53" i="48" s="1"/>
  <c r="E37" i="48"/>
  <c r="E53" i="48" s="1"/>
  <c r="D37" i="48"/>
  <c r="D53" i="48" s="1"/>
  <c r="J59" i="47"/>
  <c r="I59" i="47"/>
  <c r="H59" i="47"/>
  <c r="G59" i="47"/>
  <c r="F59" i="47"/>
  <c r="E59" i="47"/>
  <c r="D59" i="47"/>
  <c r="J57" i="47"/>
  <c r="I57" i="47"/>
  <c r="H57" i="47"/>
  <c r="G57" i="47"/>
  <c r="F57" i="47"/>
  <c r="E57" i="47"/>
  <c r="D57" i="47"/>
  <c r="J56" i="47"/>
  <c r="I56" i="47"/>
  <c r="H56" i="47"/>
  <c r="G56" i="47"/>
  <c r="F56" i="47"/>
  <c r="E56" i="47"/>
  <c r="D56" i="47"/>
  <c r="J55" i="47"/>
  <c r="I55" i="47"/>
  <c r="H55" i="47"/>
  <c r="G55" i="47"/>
  <c r="F55" i="47"/>
  <c r="E55" i="47"/>
  <c r="D55" i="47"/>
  <c r="J54" i="47"/>
  <c r="I54" i="47"/>
  <c r="H54" i="47"/>
  <c r="G54" i="47"/>
  <c r="F54" i="47"/>
  <c r="E54" i="47"/>
  <c r="D54" i="47"/>
  <c r="J52" i="47"/>
  <c r="I52" i="47"/>
  <c r="G52" i="47"/>
  <c r="F52" i="47"/>
  <c r="E52" i="47"/>
  <c r="J51" i="47"/>
  <c r="I51" i="47"/>
  <c r="H51" i="47"/>
  <c r="G51" i="47"/>
  <c r="F51" i="47"/>
  <c r="E51" i="47"/>
  <c r="D51" i="47"/>
  <c r="J50" i="47"/>
  <c r="I50" i="47"/>
  <c r="H50" i="47"/>
  <c r="G50" i="47"/>
  <c r="F50" i="47"/>
  <c r="E50" i="47"/>
  <c r="D50" i="47"/>
  <c r="J49" i="47"/>
  <c r="I49" i="47"/>
  <c r="H49" i="47"/>
  <c r="G49" i="47"/>
  <c r="F49" i="47"/>
  <c r="E49" i="47"/>
  <c r="D49" i="47"/>
  <c r="J48" i="47"/>
  <c r="I48" i="47"/>
  <c r="H48" i="47"/>
  <c r="G48" i="47"/>
  <c r="F48" i="47"/>
  <c r="E48" i="47"/>
  <c r="D48" i="47"/>
  <c r="J47" i="47"/>
  <c r="I47" i="47"/>
  <c r="H47" i="47"/>
  <c r="G47" i="47"/>
  <c r="F47" i="47"/>
  <c r="E47" i="47"/>
  <c r="D47" i="47"/>
  <c r="J46" i="47"/>
  <c r="I46" i="47"/>
  <c r="H46" i="47"/>
  <c r="G46" i="47"/>
  <c r="F46" i="47"/>
  <c r="E46" i="47"/>
  <c r="D46" i="47"/>
  <c r="J45" i="47"/>
  <c r="I45" i="47"/>
  <c r="H45" i="47"/>
  <c r="G45" i="47"/>
  <c r="F45" i="47"/>
  <c r="E45" i="47"/>
  <c r="D45" i="47"/>
  <c r="J44" i="47"/>
  <c r="I44" i="47"/>
  <c r="H44" i="47"/>
  <c r="G44" i="47"/>
  <c r="F44" i="47"/>
  <c r="E44" i="47"/>
  <c r="D44" i="47"/>
  <c r="J43" i="47"/>
  <c r="I43" i="47"/>
  <c r="H43" i="47"/>
  <c r="G43" i="47"/>
  <c r="F43" i="47"/>
  <c r="E43" i="47"/>
  <c r="D43" i="47"/>
  <c r="J42" i="47"/>
  <c r="I42" i="47"/>
  <c r="H42" i="47"/>
  <c r="G42" i="47"/>
  <c r="F42" i="47"/>
  <c r="E42" i="47"/>
  <c r="D42" i="47"/>
  <c r="J37" i="47"/>
  <c r="J53" i="47" s="1"/>
  <c r="I37" i="47"/>
  <c r="I53" i="47" s="1"/>
  <c r="H37" i="47"/>
  <c r="H53" i="47" s="1"/>
  <c r="G37" i="47"/>
  <c r="G53" i="47" s="1"/>
  <c r="G58" i="47" s="1"/>
  <c r="F37" i="47"/>
  <c r="F53" i="47" s="1"/>
  <c r="F58" i="47" s="1"/>
  <c r="E37" i="47"/>
  <c r="E53" i="47" s="1"/>
  <c r="E58" i="47" s="1"/>
  <c r="D37" i="47"/>
  <c r="D53" i="47" s="1"/>
  <c r="D58" i="47" s="1"/>
  <c r="J59" i="46"/>
  <c r="I59" i="46"/>
  <c r="H59" i="46"/>
  <c r="G59" i="46"/>
  <c r="F59" i="46"/>
  <c r="E59" i="46"/>
  <c r="D59" i="46"/>
  <c r="J57" i="46"/>
  <c r="I57" i="46"/>
  <c r="H57" i="46"/>
  <c r="G57" i="46"/>
  <c r="F57" i="46"/>
  <c r="E57" i="46"/>
  <c r="D57" i="46"/>
  <c r="J56" i="46"/>
  <c r="I56" i="46"/>
  <c r="H56" i="46"/>
  <c r="G56" i="46"/>
  <c r="F56" i="46"/>
  <c r="E56" i="46"/>
  <c r="D56" i="46"/>
  <c r="J55" i="46"/>
  <c r="I55" i="46"/>
  <c r="H55" i="46"/>
  <c r="G55" i="46"/>
  <c r="F55" i="46"/>
  <c r="E55" i="46"/>
  <c r="D55" i="46"/>
  <c r="J54" i="46"/>
  <c r="I54" i="46"/>
  <c r="H54" i="46"/>
  <c r="G54" i="46"/>
  <c r="F54" i="46"/>
  <c r="E54" i="46"/>
  <c r="D54" i="46"/>
  <c r="F52" i="46"/>
  <c r="J51" i="46"/>
  <c r="I51" i="46"/>
  <c r="H51" i="46"/>
  <c r="G51" i="46"/>
  <c r="F51" i="46"/>
  <c r="E51" i="46"/>
  <c r="D51" i="46"/>
  <c r="J50" i="46"/>
  <c r="I50" i="46"/>
  <c r="H50" i="46"/>
  <c r="G50" i="46"/>
  <c r="F50" i="46"/>
  <c r="E50" i="46"/>
  <c r="D50" i="46"/>
  <c r="J49" i="46"/>
  <c r="I49" i="46"/>
  <c r="H49" i="46"/>
  <c r="G49" i="46"/>
  <c r="F49" i="46"/>
  <c r="E49" i="46"/>
  <c r="D49" i="46"/>
  <c r="J48" i="46"/>
  <c r="I48" i="46"/>
  <c r="H48" i="46"/>
  <c r="G48" i="46"/>
  <c r="F48" i="46"/>
  <c r="E48" i="46"/>
  <c r="D48" i="46"/>
  <c r="J47" i="46"/>
  <c r="I47" i="46"/>
  <c r="H47" i="46"/>
  <c r="G47" i="46"/>
  <c r="F47" i="46"/>
  <c r="E47" i="46"/>
  <c r="D47" i="46"/>
  <c r="J46" i="46"/>
  <c r="I46" i="46"/>
  <c r="H46" i="46"/>
  <c r="G46" i="46"/>
  <c r="F46" i="46"/>
  <c r="E46" i="46"/>
  <c r="D46" i="46"/>
  <c r="J45" i="46"/>
  <c r="I45" i="46"/>
  <c r="H45" i="46"/>
  <c r="G45" i="46"/>
  <c r="F45" i="46"/>
  <c r="E45" i="46"/>
  <c r="D45" i="46"/>
  <c r="J44" i="46"/>
  <c r="I44" i="46"/>
  <c r="H44" i="46"/>
  <c r="G44" i="46"/>
  <c r="F44" i="46"/>
  <c r="E44" i="46"/>
  <c r="D44" i="46"/>
  <c r="J43" i="46"/>
  <c r="I43" i="46"/>
  <c r="H43" i="46"/>
  <c r="G43" i="46"/>
  <c r="F43" i="46"/>
  <c r="E43" i="46"/>
  <c r="D43" i="46"/>
  <c r="J42" i="46"/>
  <c r="I42" i="46"/>
  <c r="H42" i="46"/>
  <c r="G42" i="46"/>
  <c r="F42" i="46"/>
  <c r="E42" i="46"/>
  <c r="D42" i="46"/>
  <c r="J37" i="46"/>
  <c r="J53" i="46" s="1"/>
  <c r="J58" i="46" s="1"/>
  <c r="I37" i="46"/>
  <c r="I53" i="46" s="1"/>
  <c r="I58" i="46" s="1"/>
  <c r="H37" i="46"/>
  <c r="H53" i="46" s="1"/>
  <c r="G37" i="46"/>
  <c r="G53" i="46" s="1"/>
  <c r="F37" i="46"/>
  <c r="F53" i="46" s="1"/>
  <c r="E37" i="46"/>
  <c r="E53" i="46" s="1"/>
  <c r="D37" i="46"/>
  <c r="D53" i="46" s="1"/>
  <c r="J59" i="45"/>
  <c r="I59" i="45"/>
  <c r="H59" i="45"/>
  <c r="G59" i="45"/>
  <c r="F59" i="45"/>
  <c r="E59" i="45"/>
  <c r="D59" i="45"/>
  <c r="J57" i="45"/>
  <c r="I57" i="45"/>
  <c r="H57" i="45"/>
  <c r="G57" i="45"/>
  <c r="F57" i="45"/>
  <c r="E57" i="45"/>
  <c r="D57" i="45"/>
  <c r="J56" i="45"/>
  <c r="I56" i="45"/>
  <c r="H56" i="45"/>
  <c r="G56" i="45"/>
  <c r="F56" i="45"/>
  <c r="E56" i="45"/>
  <c r="D56" i="45"/>
  <c r="J55" i="45"/>
  <c r="I55" i="45"/>
  <c r="H55" i="45"/>
  <c r="G55" i="45"/>
  <c r="F55" i="45"/>
  <c r="E55" i="45"/>
  <c r="D55" i="45"/>
  <c r="J54" i="45"/>
  <c r="I54" i="45"/>
  <c r="H54" i="45"/>
  <c r="G54" i="45"/>
  <c r="F54" i="45"/>
  <c r="E54" i="45"/>
  <c r="D54" i="45"/>
  <c r="J52" i="45"/>
  <c r="I52" i="45"/>
  <c r="H52" i="45"/>
  <c r="G52" i="45"/>
  <c r="F52" i="45"/>
  <c r="E52" i="45"/>
  <c r="D52" i="45"/>
  <c r="J51" i="45"/>
  <c r="I51" i="45"/>
  <c r="H51" i="45"/>
  <c r="G51" i="45"/>
  <c r="F51" i="45"/>
  <c r="E51" i="45"/>
  <c r="D51" i="45"/>
  <c r="J50" i="45"/>
  <c r="I50" i="45"/>
  <c r="H50" i="45"/>
  <c r="G50" i="45"/>
  <c r="F50" i="45"/>
  <c r="E50" i="45"/>
  <c r="D50" i="45"/>
  <c r="J49" i="45"/>
  <c r="I49" i="45"/>
  <c r="H49" i="45"/>
  <c r="G49" i="45"/>
  <c r="F49" i="45"/>
  <c r="E49" i="45"/>
  <c r="D49" i="45"/>
  <c r="J48" i="45"/>
  <c r="I48" i="45"/>
  <c r="H48" i="45"/>
  <c r="G48" i="45"/>
  <c r="F48" i="45"/>
  <c r="E48" i="45"/>
  <c r="D48" i="45"/>
  <c r="J47" i="45"/>
  <c r="I47" i="45"/>
  <c r="H47" i="45"/>
  <c r="G47" i="45"/>
  <c r="F47" i="45"/>
  <c r="E47" i="45"/>
  <c r="D47" i="45"/>
  <c r="J46" i="45"/>
  <c r="I46" i="45"/>
  <c r="H46" i="45"/>
  <c r="G46" i="45"/>
  <c r="F46" i="45"/>
  <c r="E46" i="45"/>
  <c r="D46" i="45"/>
  <c r="J45" i="45"/>
  <c r="I45" i="45"/>
  <c r="H45" i="45"/>
  <c r="G45" i="45"/>
  <c r="F45" i="45"/>
  <c r="E45" i="45"/>
  <c r="D45" i="45"/>
  <c r="J44" i="45"/>
  <c r="I44" i="45"/>
  <c r="H44" i="45"/>
  <c r="G44" i="45"/>
  <c r="F44" i="45"/>
  <c r="E44" i="45"/>
  <c r="D44" i="45"/>
  <c r="J43" i="45"/>
  <c r="I43" i="45"/>
  <c r="H43" i="45"/>
  <c r="G43" i="45"/>
  <c r="F43" i="45"/>
  <c r="E43" i="45"/>
  <c r="D43" i="45"/>
  <c r="J42" i="45"/>
  <c r="I42" i="45"/>
  <c r="H42" i="45"/>
  <c r="G42" i="45"/>
  <c r="F42" i="45"/>
  <c r="E42" i="45"/>
  <c r="D42" i="45"/>
  <c r="J37" i="45"/>
  <c r="J53" i="45" s="1"/>
  <c r="I37" i="45"/>
  <c r="I53" i="45" s="1"/>
  <c r="H37" i="45"/>
  <c r="H53" i="45" s="1"/>
  <c r="G37" i="45"/>
  <c r="G53" i="45" s="1"/>
  <c r="F37" i="45"/>
  <c r="F53" i="45" s="1"/>
  <c r="E37" i="45"/>
  <c r="E53" i="45" s="1"/>
  <c r="E58" i="45" s="1"/>
  <c r="D37" i="45"/>
  <c r="D53" i="45" s="1"/>
  <c r="D58" i="45" s="1"/>
  <c r="J59" i="44"/>
  <c r="I59" i="44"/>
  <c r="H59" i="44"/>
  <c r="G59" i="44"/>
  <c r="F59" i="44"/>
  <c r="E59" i="44"/>
  <c r="D59" i="44"/>
  <c r="J57" i="44"/>
  <c r="I57" i="44"/>
  <c r="H57" i="44"/>
  <c r="G57" i="44"/>
  <c r="F57" i="44"/>
  <c r="E57" i="44"/>
  <c r="D57" i="44"/>
  <c r="J56" i="44"/>
  <c r="I56" i="44"/>
  <c r="H56" i="44"/>
  <c r="G56" i="44"/>
  <c r="F56" i="44"/>
  <c r="E56" i="44"/>
  <c r="D56" i="44"/>
  <c r="J55" i="44"/>
  <c r="I55" i="44"/>
  <c r="H55" i="44"/>
  <c r="G55" i="44"/>
  <c r="F55" i="44"/>
  <c r="E55" i="44"/>
  <c r="D55" i="44"/>
  <c r="J54" i="44"/>
  <c r="I54" i="44"/>
  <c r="H54" i="44"/>
  <c r="G54" i="44"/>
  <c r="F54" i="44"/>
  <c r="E54" i="44"/>
  <c r="D54" i="44"/>
  <c r="F52" i="44"/>
  <c r="J51" i="44"/>
  <c r="I51" i="44"/>
  <c r="H51" i="44"/>
  <c r="G51" i="44"/>
  <c r="F51" i="44"/>
  <c r="E51" i="44"/>
  <c r="D51" i="44"/>
  <c r="J50" i="44"/>
  <c r="I50" i="44"/>
  <c r="H50" i="44"/>
  <c r="G50" i="44"/>
  <c r="F50" i="44"/>
  <c r="E50" i="44"/>
  <c r="D50" i="44"/>
  <c r="J49" i="44"/>
  <c r="I49" i="44"/>
  <c r="H49" i="44"/>
  <c r="G49" i="44"/>
  <c r="F49" i="44"/>
  <c r="E49" i="44"/>
  <c r="D49" i="44"/>
  <c r="J48" i="44"/>
  <c r="I48" i="44"/>
  <c r="H48" i="44"/>
  <c r="G48" i="44"/>
  <c r="F48" i="44"/>
  <c r="E48" i="44"/>
  <c r="D48" i="44"/>
  <c r="J47" i="44"/>
  <c r="I47" i="44"/>
  <c r="H47" i="44"/>
  <c r="G47" i="44"/>
  <c r="F47" i="44"/>
  <c r="E47" i="44"/>
  <c r="D47" i="44"/>
  <c r="J46" i="44"/>
  <c r="I46" i="44"/>
  <c r="H46" i="44"/>
  <c r="G46" i="44"/>
  <c r="F46" i="44"/>
  <c r="E46" i="44"/>
  <c r="D46" i="44"/>
  <c r="J45" i="44"/>
  <c r="I45" i="44"/>
  <c r="H45" i="44"/>
  <c r="G45" i="44"/>
  <c r="F45" i="44"/>
  <c r="E45" i="44"/>
  <c r="D45" i="44"/>
  <c r="J44" i="44"/>
  <c r="I44" i="44"/>
  <c r="H44" i="44"/>
  <c r="G44" i="44"/>
  <c r="F44" i="44"/>
  <c r="E44" i="44"/>
  <c r="D44" i="44"/>
  <c r="J43" i="44"/>
  <c r="I43" i="44"/>
  <c r="H43" i="44"/>
  <c r="G43" i="44"/>
  <c r="F43" i="44"/>
  <c r="E43" i="44"/>
  <c r="D43" i="44"/>
  <c r="J42" i="44"/>
  <c r="I42" i="44"/>
  <c r="H42" i="44"/>
  <c r="G42" i="44"/>
  <c r="F42" i="44"/>
  <c r="E42" i="44"/>
  <c r="D42" i="44"/>
  <c r="J37" i="44"/>
  <c r="J53" i="44" s="1"/>
  <c r="J58" i="44" s="1"/>
  <c r="I37" i="44"/>
  <c r="I53" i="44" s="1"/>
  <c r="I58" i="44" s="1"/>
  <c r="H37" i="44"/>
  <c r="H53" i="44" s="1"/>
  <c r="H58" i="44" s="1"/>
  <c r="G37" i="44"/>
  <c r="G53" i="44" s="1"/>
  <c r="G58" i="44" s="1"/>
  <c r="F37" i="44"/>
  <c r="F53" i="44" s="1"/>
  <c r="E37" i="44"/>
  <c r="E53" i="44" s="1"/>
  <c r="D37" i="44"/>
  <c r="D53" i="44" s="1"/>
  <c r="D58" i="44" s="1"/>
  <c r="J59" i="43"/>
  <c r="I59" i="43"/>
  <c r="H59" i="43"/>
  <c r="G59" i="43"/>
  <c r="F59" i="43"/>
  <c r="E59" i="43"/>
  <c r="D59" i="43"/>
  <c r="J57" i="43"/>
  <c r="I57" i="43"/>
  <c r="H57" i="43"/>
  <c r="G57" i="43"/>
  <c r="F57" i="43"/>
  <c r="E57" i="43"/>
  <c r="D57" i="43"/>
  <c r="J56" i="43"/>
  <c r="I56" i="43"/>
  <c r="H56" i="43"/>
  <c r="G56" i="43"/>
  <c r="F56" i="43"/>
  <c r="E56" i="43"/>
  <c r="D56" i="43"/>
  <c r="J55" i="43"/>
  <c r="I55" i="43"/>
  <c r="H55" i="43"/>
  <c r="G55" i="43"/>
  <c r="F55" i="43"/>
  <c r="E55" i="43"/>
  <c r="D55" i="43"/>
  <c r="J54" i="43"/>
  <c r="I54" i="43"/>
  <c r="H54" i="43"/>
  <c r="G54" i="43"/>
  <c r="F54" i="43"/>
  <c r="E54" i="43"/>
  <c r="D54" i="43"/>
  <c r="H52" i="43"/>
  <c r="F52" i="43"/>
  <c r="E52" i="43"/>
  <c r="D52" i="43"/>
  <c r="J51" i="43"/>
  <c r="I51" i="43"/>
  <c r="H51" i="43"/>
  <c r="G51" i="43"/>
  <c r="F51" i="43"/>
  <c r="E51" i="43"/>
  <c r="D51" i="43"/>
  <c r="J50" i="43"/>
  <c r="I50" i="43"/>
  <c r="H50" i="43"/>
  <c r="G50" i="43"/>
  <c r="F50" i="43"/>
  <c r="E50" i="43"/>
  <c r="D50" i="43"/>
  <c r="J49" i="43"/>
  <c r="I49" i="43"/>
  <c r="H49" i="43"/>
  <c r="G49" i="43"/>
  <c r="F49" i="43"/>
  <c r="E49" i="43"/>
  <c r="D49" i="43"/>
  <c r="J48" i="43"/>
  <c r="I48" i="43"/>
  <c r="H48" i="43"/>
  <c r="G48" i="43"/>
  <c r="F48" i="43"/>
  <c r="E48" i="43"/>
  <c r="D48" i="43"/>
  <c r="J47" i="43"/>
  <c r="I47" i="43"/>
  <c r="H47" i="43"/>
  <c r="G47" i="43"/>
  <c r="F47" i="43"/>
  <c r="E47" i="43"/>
  <c r="D47" i="43"/>
  <c r="J46" i="43"/>
  <c r="I46" i="43"/>
  <c r="H46" i="43"/>
  <c r="G46" i="43"/>
  <c r="F46" i="43"/>
  <c r="E46" i="43"/>
  <c r="D46" i="43"/>
  <c r="J45" i="43"/>
  <c r="I45" i="43"/>
  <c r="H45" i="43"/>
  <c r="G45" i="43"/>
  <c r="F45" i="43"/>
  <c r="E45" i="43"/>
  <c r="D45" i="43"/>
  <c r="J44" i="43"/>
  <c r="I44" i="43"/>
  <c r="H44" i="43"/>
  <c r="G44" i="43"/>
  <c r="F44" i="43"/>
  <c r="E44" i="43"/>
  <c r="D44" i="43"/>
  <c r="J43" i="43"/>
  <c r="I43" i="43"/>
  <c r="H43" i="43"/>
  <c r="G43" i="43"/>
  <c r="F43" i="43"/>
  <c r="E43" i="43"/>
  <c r="D43" i="43"/>
  <c r="J42" i="43"/>
  <c r="I42" i="43"/>
  <c r="H42" i="43"/>
  <c r="G42" i="43"/>
  <c r="F42" i="43"/>
  <c r="E42" i="43"/>
  <c r="D42" i="43"/>
  <c r="J37" i="43"/>
  <c r="J53" i="43" s="1"/>
  <c r="J58" i="43" s="1"/>
  <c r="I37" i="43"/>
  <c r="I53" i="43" s="1"/>
  <c r="H37" i="43"/>
  <c r="H53" i="43" s="1"/>
  <c r="G37" i="43"/>
  <c r="G53" i="43" s="1"/>
  <c r="F37" i="43"/>
  <c r="F53" i="43" s="1"/>
  <c r="E37" i="43"/>
  <c r="E53" i="43" s="1"/>
  <c r="D37" i="43"/>
  <c r="D53" i="43" s="1"/>
  <c r="J59" i="42"/>
  <c r="I59" i="42"/>
  <c r="H59" i="42"/>
  <c r="G59" i="42"/>
  <c r="F59" i="42"/>
  <c r="E59" i="42"/>
  <c r="D59" i="42"/>
  <c r="J57" i="42"/>
  <c r="I57" i="42"/>
  <c r="H57" i="42"/>
  <c r="G57" i="42"/>
  <c r="F57" i="42"/>
  <c r="E57" i="42"/>
  <c r="D57" i="42"/>
  <c r="J56" i="42"/>
  <c r="I56" i="42"/>
  <c r="H56" i="42"/>
  <c r="G56" i="42"/>
  <c r="F56" i="42"/>
  <c r="E56" i="42"/>
  <c r="D56" i="42"/>
  <c r="J55" i="42"/>
  <c r="I55" i="42"/>
  <c r="H55" i="42"/>
  <c r="G55" i="42"/>
  <c r="F55" i="42"/>
  <c r="E55" i="42"/>
  <c r="D55" i="42"/>
  <c r="J54" i="42"/>
  <c r="I54" i="42"/>
  <c r="H54" i="42"/>
  <c r="G54" i="42"/>
  <c r="F54" i="42"/>
  <c r="E54" i="42"/>
  <c r="D54" i="42"/>
  <c r="J52" i="42"/>
  <c r="I52" i="42"/>
  <c r="J51" i="42"/>
  <c r="I51" i="42"/>
  <c r="H51" i="42"/>
  <c r="G51" i="42"/>
  <c r="F51" i="42"/>
  <c r="E51" i="42"/>
  <c r="D51" i="42"/>
  <c r="J50" i="42"/>
  <c r="I50" i="42"/>
  <c r="H50" i="42"/>
  <c r="G50" i="42"/>
  <c r="F50" i="42"/>
  <c r="E50" i="42"/>
  <c r="D50" i="42"/>
  <c r="J49" i="42"/>
  <c r="I49" i="42"/>
  <c r="H49" i="42"/>
  <c r="G49" i="42"/>
  <c r="F49" i="42"/>
  <c r="E49" i="42"/>
  <c r="D49" i="42"/>
  <c r="J48" i="42"/>
  <c r="I48" i="42"/>
  <c r="H48" i="42"/>
  <c r="G48" i="42"/>
  <c r="F48" i="42"/>
  <c r="E48" i="42"/>
  <c r="D48" i="42"/>
  <c r="J47" i="42"/>
  <c r="I47" i="42"/>
  <c r="H47" i="42"/>
  <c r="G47" i="42"/>
  <c r="F47" i="42"/>
  <c r="E47" i="42"/>
  <c r="D47" i="42"/>
  <c r="J46" i="42"/>
  <c r="I46" i="42"/>
  <c r="H46" i="42"/>
  <c r="G46" i="42"/>
  <c r="F46" i="42"/>
  <c r="E46" i="42"/>
  <c r="D46" i="42"/>
  <c r="J45" i="42"/>
  <c r="I45" i="42"/>
  <c r="H45" i="42"/>
  <c r="G45" i="42"/>
  <c r="F45" i="42"/>
  <c r="E45" i="42"/>
  <c r="D45" i="42"/>
  <c r="J44" i="42"/>
  <c r="I44" i="42"/>
  <c r="H44" i="42"/>
  <c r="G44" i="42"/>
  <c r="F44" i="42"/>
  <c r="E44" i="42"/>
  <c r="D44" i="42"/>
  <c r="J43" i="42"/>
  <c r="I43" i="42"/>
  <c r="H43" i="42"/>
  <c r="G43" i="42"/>
  <c r="F43" i="42"/>
  <c r="E43" i="42"/>
  <c r="D43" i="42"/>
  <c r="J42" i="42"/>
  <c r="I42" i="42"/>
  <c r="H42" i="42"/>
  <c r="G42" i="42"/>
  <c r="F42" i="42"/>
  <c r="E42" i="42"/>
  <c r="D42" i="42"/>
  <c r="J37" i="42"/>
  <c r="J53" i="42" s="1"/>
  <c r="J58" i="42" s="1"/>
  <c r="I37" i="42"/>
  <c r="I53" i="42" s="1"/>
  <c r="I58" i="42" s="1"/>
  <c r="H37" i="42"/>
  <c r="H53" i="42" s="1"/>
  <c r="H58" i="42" s="1"/>
  <c r="G37" i="42"/>
  <c r="G53" i="42" s="1"/>
  <c r="G58" i="42" s="1"/>
  <c r="F37" i="42"/>
  <c r="F53" i="42" s="1"/>
  <c r="F58" i="42" s="1"/>
  <c r="E37" i="42"/>
  <c r="E53" i="42" s="1"/>
  <c r="D37" i="42"/>
  <c r="D53" i="42" s="1"/>
  <c r="D52" i="48" l="1"/>
  <c r="E52" i="48"/>
  <c r="F52" i="48"/>
  <c r="D58" i="48"/>
  <c r="G52" i="48"/>
  <c r="E58" i="48"/>
  <c r="H52" i="48"/>
  <c r="F58" i="48"/>
  <c r="I52" i="48"/>
  <c r="H58" i="48"/>
  <c r="I58" i="48"/>
  <c r="G58" i="48"/>
  <c r="J58" i="48"/>
  <c r="J58" i="47"/>
  <c r="I58" i="47"/>
  <c r="H58" i="47"/>
  <c r="D52" i="47"/>
  <c r="D52" i="46"/>
  <c r="E52" i="46"/>
  <c r="D58" i="46"/>
  <c r="G52" i="46"/>
  <c r="F58" i="46"/>
  <c r="J52" i="46"/>
  <c r="E58" i="46"/>
  <c r="G58" i="46"/>
  <c r="I52" i="46"/>
  <c r="H58" i="46"/>
  <c r="H58" i="45"/>
  <c r="I58" i="45"/>
  <c r="G58" i="45"/>
  <c r="J58" i="45"/>
  <c r="F58" i="45"/>
  <c r="D52" i="44"/>
  <c r="E52" i="44"/>
  <c r="G52" i="44"/>
  <c r="E58" i="44"/>
  <c r="H52" i="44"/>
  <c r="F58" i="44"/>
  <c r="D58" i="43"/>
  <c r="G52" i="43"/>
  <c r="E58" i="43"/>
  <c r="F58" i="43"/>
  <c r="I52" i="43"/>
  <c r="G58" i="43"/>
  <c r="H58" i="43"/>
  <c r="I58" i="43"/>
  <c r="D52" i="42"/>
  <c r="E52" i="42"/>
  <c r="F52" i="42"/>
  <c r="D58" i="42"/>
  <c r="G52" i="42"/>
  <c r="E58" i="42"/>
  <c r="H52" i="42"/>
  <c r="H52" i="47"/>
  <c r="H52" i="46"/>
  <c r="I52" i="44"/>
  <c r="J52" i="44"/>
  <c r="J52" i="43"/>
  <c r="I59" i="18"/>
  <c r="I57" i="18"/>
  <c r="D59" i="27" s="1"/>
  <c r="I56" i="18"/>
  <c r="I55" i="18"/>
  <c r="I54" i="18"/>
  <c r="I51" i="18"/>
  <c r="I50" i="18"/>
  <c r="I49" i="18"/>
  <c r="I48" i="18"/>
  <c r="D66" i="27" s="1"/>
  <c r="I47" i="18"/>
  <c r="I46" i="18"/>
  <c r="D73" i="27" s="1"/>
  <c r="I45" i="18"/>
  <c r="I44" i="18"/>
  <c r="D52" i="27" s="1"/>
  <c r="I43" i="18"/>
  <c r="I42" i="18"/>
  <c r="I37" i="18"/>
  <c r="I53" i="18" s="1"/>
  <c r="J59" i="18"/>
  <c r="H59" i="18"/>
  <c r="G59" i="18"/>
  <c r="F59" i="18"/>
  <c r="E59" i="18"/>
  <c r="D59" i="18"/>
  <c r="J57" i="18"/>
  <c r="D60" i="27" s="1"/>
  <c r="V12" i="27" s="1"/>
  <c r="H57" i="18"/>
  <c r="G57" i="18"/>
  <c r="F57" i="18"/>
  <c r="E57" i="18"/>
  <c r="D57" i="18"/>
  <c r="J56" i="18"/>
  <c r="H56" i="18"/>
  <c r="G56" i="18"/>
  <c r="F56" i="18"/>
  <c r="E56" i="18"/>
  <c r="D56" i="18"/>
  <c r="J55" i="18"/>
  <c r="H55" i="18"/>
  <c r="G55" i="18"/>
  <c r="F55" i="18"/>
  <c r="E55" i="18"/>
  <c r="D55" i="18"/>
  <c r="J54" i="18"/>
  <c r="H54" i="18"/>
  <c r="G54" i="18"/>
  <c r="F54" i="18"/>
  <c r="E54" i="18"/>
  <c r="D54" i="18"/>
  <c r="J51" i="18"/>
  <c r="H51" i="18"/>
  <c r="G51" i="18"/>
  <c r="F51" i="18"/>
  <c r="E51" i="18"/>
  <c r="D51" i="18"/>
  <c r="J50" i="18"/>
  <c r="H50" i="18"/>
  <c r="G50" i="18"/>
  <c r="F50" i="18"/>
  <c r="E50" i="18"/>
  <c r="D50" i="18"/>
  <c r="J49" i="18"/>
  <c r="H49" i="18"/>
  <c r="G49" i="18"/>
  <c r="F49" i="18"/>
  <c r="E49" i="18"/>
  <c r="D49" i="18"/>
  <c r="J48" i="18"/>
  <c r="D67" i="27" s="1"/>
  <c r="H48" i="18"/>
  <c r="G48" i="18"/>
  <c r="F48" i="18"/>
  <c r="E48" i="18"/>
  <c r="D48" i="18"/>
  <c r="J47" i="18"/>
  <c r="H47" i="18"/>
  <c r="G47" i="18"/>
  <c r="F47" i="18"/>
  <c r="E47" i="18"/>
  <c r="D47" i="18"/>
  <c r="J46" i="18"/>
  <c r="D75" i="27" s="1"/>
  <c r="H46" i="18"/>
  <c r="D72" i="27" s="1"/>
  <c r="G46" i="18"/>
  <c r="F46" i="18"/>
  <c r="E46" i="18"/>
  <c r="D46" i="18"/>
  <c r="J45" i="18"/>
  <c r="H45" i="18"/>
  <c r="G45" i="18"/>
  <c r="F45" i="18"/>
  <c r="E45" i="18"/>
  <c r="D45" i="18"/>
  <c r="J44" i="18"/>
  <c r="D53" i="27" s="1"/>
  <c r="U12" i="27" s="1"/>
  <c r="H44" i="18"/>
  <c r="G44" i="18"/>
  <c r="F44" i="18"/>
  <c r="E44" i="18"/>
  <c r="D44" i="18"/>
  <c r="J43" i="18"/>
  <c r="H43" i="18"/>
  <c r="G43" i="18"/>
  <c r="F43" i="18"/>
  <c r="E43" i="18"/>
  <c r="D43" i="18"/>
  <c r="J42" i="18"/>
  <c r="H42" i="18"/>
  <c r="G42" i="18"/>
  <c r="F42" i="18"/>
  <c r="E42" i="18"/>
  <c r="D42" i="18"/>
  <c r="J37" i="18"/>
  <c r="J52" i="18" s="1"/>
  <c r="H37" i="18"/>
  <c r="H52" i="18" s="1"/>
  <c r="G37" i="18"/>
  <c r="G52" i="18" s="1"/>
  <c r="F37" i="18"/>
  <c r="F53" i="18" s="1"/>
  <c r="E37" i="18"/>
  <c r="E52" i="18" s="1"/>
  <c r="D37" i="18"/>
  <c r="D53" i="18" s="1"/>
  <c r="I52" i="18" l="1"/>
  <c r="I58" i="18"/>
  <c r="G53" i="18"/>
  <c r="G58" i="18" s="1"/>
  <c r="F52" i="18"/>
  <c r="E53" i="18"/>
  <c r="E58" i="18" s="1"/>
  <c r="D52" i="18"/>
  <c r="F58" i="18"/>
  <c r="D58" i="18"/>
  <c r="H53" i="18"/>
  <c r="H58" i="18" s="1"/>
  <c r="J53" i="18"/>
  <c r="J58" i="18" s="1"/>
  <c r="Y10" i="27" l="1"/>
  <c r="Y11" i="27"/>
  <c r="Y12" i="27"/>
  <c r="Y13" i="27"/>
  <c r="Y14" i="27"/>
  <c r="Y15" i="27"/>
  <c r="Y16" i="27"/>
  <c r="Y17" i="27"/>
  <c r="Y18" i="27"/>
  <c r="Y19" i="27"/>
  <c r="Y20" i="27"/>
  <c r="Y21" i="27"/>
  <c r="Y22" i="27"/>
  <c r="Y23" i="27"/>
  <c r="Y24" i="27"/>
  <c r="Y25" i="27"/>
  <c r="Y26" i="27"/>
  <c r="Y27" i="27"/>
  <c r="Y28" i="27"/>
  <c r="Y9" i="27"/>
  <c r="X11" i="27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10" i="27"/>
  <c r="D74" i="27"/>
  <c r="D71" i="27"/>
  <c r="D70" i="27"/>
  <c r="D69" i="27"/>
  <c r="D68" i="27"/>
  <c r="D62" i="27"/>
  <c r="D64" i="27"/>
  <c r="D63" i="27"/>
  <c r="D65" i="27"/>
  <c r="D61" i="27"/>
  <c r="V11" i="27" l="1"/>
  <c r="D58" i="27"/>
  <c r="V10" i="27" s="1"/>
  <c r="D57" i="27"/>
  <c r="V9" i="27" s="1"/>
  <c r="D56" i="27"/>
  <c r="V8" i="27" s="1"/>
  <c r="D55" i="27"/>
  <c r="V7" i="27" s="1"/>
  <c r="D54" i="27"/>
  <c r="V6" i="27" s="1"/>
  <c r="U11" i="27"/>
  <c r="D51" i="27"/>
  <c r="U10" i="27" s="1"/>
  <c r="D50" i="27"/>
  <c r="U9" i="27" s="1"/>
  <c r="D49" i="27"/>
  <c r="U8" i="27" s="1"/>
  <c r="D48" i="27"/>
  <c r="U7" i="27" s="1"/>
  <c r="D47" i="27"/>
  <c r="U6" i="27" s="1"/>
</calcChain>
</file>

<file path=xl/sharedStrings.xml><?xml version="1.0" encoding="utf-8"?>
<sst xmlns="http://schemas.openxmlformats.org/spreadsheetml/2006/main" count="888" uniqueCount="98">
  <si>
    <t>Sales</t>
  </si>
  <si>
    <t>Marketing</t>
  </si>
  <si>
    <t>Income Statement</t>
  </si>
  <si>
    <t>Cost of Goods Sold</t>
  </si>
  <si>
    <t xml:space="preserve">  Gross Margin</t>
  </si>
  <si>
    <t>Research and Development</t>
  </si>
  <si>
    <t>General and Administrative</t>
  </si>
  <si>
    <t xml:space="preserve">  Income from Operations</t>
  </si>
  <si>
    <t>Interest Income</t>
  </si>
  <si>
    <t>Interest Expense</t>
  </si>
  <si>
    <t>Extraordinary Items</t>
  </si>
  <si>
    <t xml:space="preserve">  Income before Tax</t>
  </si>
  <si>
    <t>Less Tax @ 35%</t>
  </si>
  <si>
    <t xml:space="preserve">  Net Income</t>
  </si>
  <si>
    <t>Balance Sheet</t>
  </si>
  <si>
    <t>Assets</t>
  </si>
  <si>
    <t>Liabilities</t>
  </si>
  <si>
    <t>Cash</t>
  </si>
  <si>
    <t>Accounts Payable</t>
  </si>
  <si>
    <t>Receivables</t>
  </si>
  <si>
    <t>Short Term Debt</t>
  </si>
  <si>
    <t>Inventory</t>
  </si>
  <si>
    <t>Long Term Debt</t>
  </si>
  <si>
    <t>Plant and Equipment</t>
  </si>
  <si>
    <t xml:space="preserve">  Total Liabilities</t>
  </si>
  <si>
    <t>Accumulated Depreciation</t>
  </si>
  <si>
    <t>Equity</t>
  </si>
  <si>
    <t>Stock ($1 par)</t>
  </si>
  <si>
    <t>Retained Earnings</t>
  </si>
  <si>
    <t>Treasury Stock</t>
  </si>
  <si>
    <t xml:space="preserve">  Total Equity</t>
  </si>
  <si>
    <t>Total Assets</t>
  </si>
  <si>
    <t>MILLIONS</t>
  </si>
  <si>
    <t>Gross Profit Margin</t>
  </si>
  <si>
    <t>Operating Profit Margin</t>
  </si>
  <si>
    <t>Net Profit Margin</t>
  </si>
  <si>
    <t>Return on Assets</t>
  </si>
  <si>
    <t>Return on Equity</t>
  </si>
  <si>
    <t>Debt-to-Equity</t>
  </si>
  <si>
    <t>Interest Coverage</t>
  </si>
  <si>
    <t>Current Ratio</t>
  </si>
  <si>
    <t>Quick Ratio</t>
  </si>
  <si>
    <t>Inventory Turns</t>
  </si>
  <si>
    <t>Days in Inventory</t>
  </si>
  <si>
    <t>Days Payables Outstanding</t>
  </si>
  <si>
    <t>Days Sales Outstanding</t>
  </si>
  <si>
    <t>PPE Turnover</t>
  </si>
  <si>
    <t>Total Asset Turnover</t>
  </si>
  <si>
    <t>Cash Conversion Cycle</t>
  </si>
  <si>
    <t>Profitability</t>
  </si>
  <si>
    <t>Leverage</t>
  </si>
  <si>
    <t>Liquidity</t>
  </si>
  <si>
    <t>Efficiency</t>
  </si>
  <si>
    <t>Ratios</t>
  </si>
  <si>
    <t>Short-term securities</t>
  </si>
  <si>
    <t>Beg. Inventory</t>
  </si>
  <si>
    <t xml:space="preserve">End. Inventory </t>
  </si>
  <si>
    <t>Cash Flow</t>
  </si>
  <si>
    <t>Net Cash from Operations</t>
  </si>
  <si>
    <t>Net investment</t>
  </si>
  <si>
    <t>Free Cash Flow (M)</t>
  </si>
  <si>
    <t>Other</t>
  </si>
  <si>
    <t>Inventory Detail</t>
  </si>
  <si>
    <t>Dividends Paid</t>
  </si>
  <si>
    <t>FIRM A</t>
  </si>
  <si>
    <t>FIRM B</t>
  </si>
  <si>
    <t>FIRM C</t>
  </si>
  <si>
    <t>FIRM D</t>
  </si>
  <si>
    <t>FIRM E</t>
  </si>
  <si>
    <t>FIRM F</t>
  </si>
  <si>
    <t>FIRM G</t>
  </si>
  <si>
    <t>A</t>
  </si>
  <si>
    <t>B</t>
  </si>
  <si>
    <t>C</t>
  </si>
  <si>
    <t>D</t>
  </si>
  <si>
    <t>E</t>
  </si>
  <si>
    <t>F</t>
  </si>
  <si>
    <t>G</t>
  </si>
  <si>
    <t>Section 1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</si>
  <si>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</si>
  <si>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</si>
  <si>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</si>
  <si>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</si>
  <si>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</si>
  <si>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</si>
  <si>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</si>
  <si>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</si>
  <si>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Firm</t>
  </si>
  <si>
    <t>Measure</t>
  </si>
  <si>
    <t>Industry</t>
  </si>
  <si>
    <t>Equity Multiplier</t>
  </si>
  <si>
    <t>Current Year</t>
  </si>
  <si>
    <t>TAT</t>
  </si>
  <si>
    <t>NPM</t>
  </si>
  <si>
    <t>Step Size</t>
  </si>
  <si>
    <t>ROA = 15%</t>
  </si>
  <si>
    <t xml:space="preserve">Avg. Inventory </t>
    <phoneticPr fontId="10" type="noConversion"/>
  </si>
  <si>
    <t>Add'l Paid in Cap.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</si>
</sst>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\$#,##0_-"/>
    <numFmt numFmtId="179" formatCode="@*."/>
    <numFmt numFmtId="180" formatCode="0.0"/>
    <numFmt numFmtId="181" formatCode="_(&quot;$&quot;* #,##0_);_(&quot;$&quot;* \(#,##0\);_(&quot;$&quot;* &quot;-&quot;??_);_(@_)"/>
  </numFmts>
  <fonts count="11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2" fillId="0" borderId="0" xfId="0" applyFont="1"/>
    <xf numFmtId="179" fontId="2" fillId="0" borderId="1" xfId="0" applyNumberFormat="1" applyFont="1" applyBorder="1"/>
    <xf numFmtId="0" fontId="2" fillId="0" borderId="3" xfId="0" applyFont="1" applyBorder="1"/>
    <xf numFmtId="179" fontId="0" fillId="0" borderId="5" xfId="0" applyNumberFormat="1" applyBorder="1"/>
    <xf numFmtId="0" fontId="2" fillId="0" borderId="7" xfId="0" applyFont="1" applyBorder="1"/>
    <xf numFmtId="0" fontId="2" fillId="0" borderId="4" xfId="0" applyFont="1" applyBorder="1"/>
    <xf numFmtId="179" fontId="3" fillId="0" borderId="2" xfId="0" applyNumberFormat="1" applyFont="1" applyBorder="1"/>
    <xf numFmtId="179" fontId="3" fillId="0" borderId="1" xfId="0" applyNumberFormat="1" applyFont="1" applyBorder="1"/>
    <xf numFmtId="0" fontId="2" fillId="2" borderId="6" xfId="0" applyFont="1" applyFill="1" applyBorder="1"/>
    <xf numFmtId="0" fontId="2" fillId="0" borderId="3" xfId="0" applyFont="1" applyBorder="1" applyAlignment="1">
      <alignment wrapText="1"/>
    </xf>
    <xf numFmtId="0" fontId="6" fillId="0" borderId="0" xfId="0" applyFont="1"/>
    <xf numFmtId="179" fontId="2" fillId="0" borderId="1" xfId="0" applyNumberFormat="1" applyFont="1" applyBorder="1" applyAlignment="1">
      <alignment horizontal="left" indent="1"/>
    </xf>
    <xf numFmtId="9" fontId="0" fillId="0" borderId="0" xfId="2" applyFont="1" applyFill="1" applyBorder="1" applyAlignment="1">
      <alignment horizontal="center"/>
    </xf>
    <xf numFmtId="9" fontId="3" fillId="0" borderId="1" xfId="2" applyFont="1" applyFill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180" fontId="0" fillId="0" borderId="2" xfId="1" applyNumberFormat="1" applyFont="1" applyFill="1" applyBorder="1" applyAlignment="1">
      <alignment horizontal="center"/>
    </xf>
    <xf numFmtId="180" fontId="0" fillId="0" borderId="1" xfId="1" applyNumberFormat="1" applyFont="1" applyFill="1" applyBorder="1" applyAlignment="1">
      <alignment horizontal="center"/>
    </xf>
    <xf numFmtId="180" fontId="0" fillId="0" borderId="0" xfId="1" applyNumberFormat="1" applyFont="1" applyFill="1" applyBorder="1" applyAlignment="1">
      <alignment horizontal="center"/>
    </xf>
    <xf numFmtId="0" fontId="2" fillId="3" borderId="8" xfId="0" applyFont="1" applyFill="1" applyBorder="1"/>
    <xf numFmtId="0" fontId="4" fillId="4" borderId="9" xfId="0" applyFont="1" applyFill="1" applyBorder="1"/>
    <xf numFmtId="0" fontId="2" fillId="4" borderId="9" xfId="0" applyFont="1" applyFill="1" applyBorder="1" applyAlignment="1">
      <alignment horizontal="center"/>
    </xf>
    <xf numFmtId="178" fontId="2" fillId="0" borderId="1" xfId="0" applyNumberFormat="1" applyFont="1" applyBorder="1" applyAlignment="1">
      <alignment horizontal="right"/>
    </xf>
    <xf numFmtId="0" fontId="2" fillId="2" borderId="10" xfId="0" applyFont="1" applyFill="1" applyBorder="1"/>
    <xf numFmtId="179" fontId="7" fillId="0" borderId="11" xfId="0" applyNumberFormat="1" applyFont="1" applyBorder="1"/>
    <xf numFmtId="181" fontId="0" fillId="0" borderId="11" xfId="3" applyNumberFormat="1" applyFont="1" applyFill="1" applyBorder="1" applyAlignment="1">
      <alignment horizontal="center"/>
    </xf>
    <xf numFmtId="179" fontId="3" fillId="0" borderId="5" xfId="0" applyNumberFormat="1" applyFont="1" applyBorder="1"/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/>
    <xf numFmtId="0" fontId="0" fillId="4" borderId="9" xfId="0" applyFill="1" applyBorder="1"/>
    <xf numFmtId="177" fontId="0" fillId="0" borderId="0" xfId="1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78" fontId="0" fillId="0" borderId="5" xfId="0" applyNumberFormat="1" applyBorder="1" applyAlignment="1">
      <alignment horizontal="right"/>
    </xf>
    <xf numFmtId="179" fontId="2" fillId="0" borderId="5" xfId="0" applyNumberFormat="1" applyFont="1" applyBorder="1" applyAlignment="1">
      <alignment horizontal="left" indent="1"/>
    </xf>
    <xf numFmtId="178" fontId="2" fillId="0" borderId="5" xfId="0" applyNumberFormat="1" applyFont="1" applyBorder="1" applyAlignment="1">
      <alignment horizontal="right"/>
    </xf>
    <xf numFmtId="178" fontId="0" fillId="0" borderId="1" xfId="0" applyNumberFormat="1" applyBorder="1" applyAlignment="1">
      <alignment horizontal="right"/>
    </xf>
    <xf numFmtId="0" fontId="1" fillId="0" borderId="0" xfId="0" applyFont="1"/>
    <xf numFmtId="9" fontId="0" fillId="0" borderId="0" xfId="0" applyNumberFormat="1"/>
    <xf numFmtId="180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0" fillId="0" borderId="3" xfId="0" applyBorder="1"/>
    <xf numFmtId="179" fontId="2" fillId="0" borderId="0" xfId="0" applyNumberFormat="1" applyFont="1"/>
    <xf numFmtId="178" fontId="0" fillId="0" borderId="0" xfId="0" applyNumberFormat="1" applyAlignment="1">
      <alignment horizontal="right"/>
    </xf>
    <xf numFmtId="179" fontId="0" fillId="0" borderId="0" xfId="0" applyNumberFormat="1"/>
    <xf numFmtId="179" fontId="3" fillId="0" borderId="0" xfId="0" applyNumberFormat="1" applyFont="1"/>
    <xf numFmtId="178" fontId="1" fillId="0" borderId="0" xfId="4" applyNumberFormat="1" applyAlignment="1">
      <alignment horizontal="right"/>
    </xf>
    <xf numFmtId="179" fontId="1" fillId="0" borderId="0" xfId="0" applyNumberFormat="1" applyFont="1"/>
    <xf numFmtId="0" fontId="5" fillId="0" borderId="5" xfId="0" applyFont="1" applyBorder="1" applyAlignment="1">
      <alignment horizontal="center"/>
    </xf>
  </cellXfs>
  <cellStyles count="5">
    <cellStyle name="Comma" xfId="1" builtinId="3"/>
    <cellStyle name="Currency" xfId="3" builtinId="4"/>
    <cellStyle name="Normal" xfId="0" builtinId="0"/>
    <cellStyle name="Normal 2" xfId="4" xr:uid="{B388E979-D30D-4BD9-BCB7-FC66D1461375}"/>
    <cellStyle name="Percent" xfId="2" builtinId="5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en-US" sz="1200">
                <a:latin typeface="+mn-lt"/>
              </a:rPr>
              <a:t>Net Profit Margin | Section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Dashboard!$C$47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Dashboard!$D$47:$K$47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B-4A0B-9060-593746A2DBCE}"/>
            </c:ext>
          </c:extLst>
        </c:ser>
        <c:ser>
          <c:idx val="1"/>
          <c:order val="1"/>
          <c:tx>
            <c:strRef>
              <c:f>Dashboard!$C$48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Dashboard!$D$48:$K$48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B-4A0B-9060-593746A2DBCE}"/>
            </c:ext>
          </c:extLst>
        </c:ser>
        <c:ser>
          <c:idx val="2"/>
          <c:order val="2"/>
          <c:tx>
            <c:strRef>
              <c:f>Dashboard!$C$49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Dashboard!$D$49:$K$49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B-4A0B-9060-593746A2DBCE}"/>
            </c:ext>
          </c:extLst>
        </c:ser>
        <c:ser>
          <c:idx val="3"/>
          <c:order val="3"/>
          <c:tx>
            <c:strRef>
              <c:f>Dashboard!$C$50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Dashboard!$D$50:$K$50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B-4A0B-9060-593746A2DBCE}"/>
            </c:ext>
          </c:extLst>
        </c:ser>
        <c:ser>
          <c:idx val="4"/>
          <c:order val="4"/>
          <c:tx>
            <c:strRef>
              <c:f>Dashboard!$C$51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Dashboard!$D$51:$K$51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B-4A0B-9060-593746A2DBCE}"/>
            </c:ext>
          </c:extLst>
        </c:ser>
        <c:ser>
          <c:idx val="5"/>
          <c:order val="5"/>
          <c:tx>
            <c:strRef>
              <c:f>Dashboard!$C$52</c:f>
              <c:strCache>
                <c:ptCount val="1"/>
                <c:pt idx="0">
                  <c:v>F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Dashboard!$D$52:$K$52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DB-4A0B-9060-593746A2DBCE}"/>
            </c:ext>
          </c:extLst>
        </c:ser>
        <c:ser>
          <c:idx val="6"/>
          <c:order val="6"/>
          <c:tx>
            <c:strRef>
              <c:f>Dashboard!$C$53</c:f>
              <c:strCache>
                <c:ptCount val="1"/>
                <c:pt idx="0">
                  <c:v>G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Dashboard!$D$53:$K$53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DB-4A0B-9060-593746A2D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645535"/>
        <c:axId val="555651775"/>
      </c:lineChart>
      <c:catAx>
        <c:axId val="55564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51775"/>
        <c:crosses val="autoZero"/>
        <c:auto val="1"/>
        <c:lblAlgn val="ctr"/>
        <c:lblOffset val="100"/>
        <c:noMultiLvlLbl val="0"/>
      </c:catAx>
      <c:valAx>
        <c:axId val="5556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455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en-US" sz="1200">
                <a:latin typeface="+mn-lt"/>
              </a:rPr>
              <a:t>Total</a:t>
            </a:r>
            <a:r>
              <a:rPr lang="en-US" sz="1200" baseline="0">
                <a:latin typeface="+mn-lt"/>
              </a:rPr>
              <a:t> Asset Turnover</a:t>
            </a:r>
            <a:r>
              <a:rPr lang="en-US" sz="1200">
                <a:latin typeface="+mn-lt"/>
              </a:rPr>
              <a:t>| Section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Dashboard!$C$54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Dashboard!$D$54:$K$54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2-429B-9DAA-7AFD7E50E8E6}"/>
            </c:ext>
          </c:extLst>
        </c:ser>
        <c:ser>
          <c:idx val="1"/>
          <c:order val="1"/>
          <c:tx>
            <c:strRef>
              <c:f>Dashboard!$C$55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Dashboard!$D$55:$K$55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2-429B-9DAA-7AFD7E50E8E6}"/>
            </c:ext>
          </c:extLst>
        </c:ser>
        <c:ser>
          <c:idx val="2"/>
          <c:order val="2"/>
          <c:tx>
            <c:strRef>
              <c:f>Dashboard!$C$56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Dashboard!$D$56:$K$56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2-429B-9DAA-7AFD7E50E8E6}"/>
            </c:ext>
          </c:extLst>
        </c:ser>
        <c:ser>
          <c:idx val="3"/>
          <c:order val="3"/>
          <c:tx>
            <c:strRef>
              <c:f>Dashboard!$C$57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Dashboard!$D$57:$K$57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A2-429B-9DAA-7AFD7E50E8E6}"/>
            </c:ext>
          </c:extLst>
        </c:ser>
        <c:ser>
          <c:idx val="4"/>
          <c:order val="4"/>
          <c:tx>
            <c:strRef>
              <c:f>Dashboard!$C$58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Dashboard!$D$58:$K$58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A2-429B-9DAA-7AFD7E50E8E6}"/>
            </c:ext>
          </c:extLst>
        </c:ser>
        <c:ser>
          <c:idx val="5"/>
          <c:order val="5"/>
          <c:tx>
            <c:strRef>
              <c:f>Dashboard!$C$59</c:f>
              <c:strCache>
                <c:ptCount val="1"/>
                <c:pt idx="0">
                  <c:v>F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Dashboard!$D$59:$K$59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A2-429B-9DAA-7AFD7E50E8E6}"/>
            </c:ext>
          </c:extLst>
        </c:ser>
        <c:ser>
          <c:idx val="6"/>
          <c:order val="6"/>
          <c:tx>
            <c:strRef>
              <c:f>Dashboard!$C$60</c:f>
              <c:strCache>
                <c:ptCount val="1"/>
                <c:pt idx="0">
                  <c:v>G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Dashboard!$D$60:$K$60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A2-429B-9DAA-7AFD7E50E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645535"/>
        <c:axId val="555651775"/>
      </c:lineChart>
      <c:catAx>
        <c:axId val="55564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51775"/>
        <c:crosses val="autoZero"/>
        <c:auto val="1"/>
        <c:lblAlgn val="ctr"/>
        <c:lblOffset val="100"/>
        <c:noMultiLvlLbl val="0"/>
      </c:catAx>
      <c:valAx>
        <c:axId val="5556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455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en-US" sz="1200">
                <a:latin typeface="+mn-lt"/>
              </a:rPr>
              <a:t>Equity</a:t>
            </a:r>
            <a:r>
              <a:rPr lang="en-US" sz="1200" baseline="0">
                <a:latin typeface="+mn-lt"/>
              </a:rPr>
              <a:t> Multiplier</a:t>
            </a:r>
            <a:r>
              <a:rPr lang="en-US" sz="1200">
                <a:latin typeface="+mn-lt"/>
              </a:rPr>
              <a:t>| Section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Dashboard!$C$61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Dashboard!$D$61:$K$61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2-429B-9DAA-7AFD7E50E8E6}"/>
            </c:ext>
          </c:extLst>
        </c:ser>
        <c:ser>
          <c:idx val="1"/>
          <c:order val="1"/>
          <c:tx>
            <c:strRef>
              <c:f>Dashboard!$C$62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Dashboard!$D$62:$K$62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2-429B-9DAA-7AFD7E50E8E6}"/>
            </c:ext>
          </c:extLst>
        </c:ser>
        <c:ser>
          <c:idx val="2"/>
          <c:order val="2"/>
          <c:tx>
            <c:strRef>
              <c:f>Dashboard!$C$63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Dashboard!$D$63:$K$63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2-429B-9DAA-7AFD7E50E8E6}"/>
            </c:ext>
          </c:extLst>
        </c:ser>
        <c:ser>
          <c:idx val="3"/>
          <c:order val="3"/>
          <c:tx>
            <c:strRef>
              <c:f>Dashboard!$C$64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Dashboard!$D$64:$K$64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A2-429B-9DAA-7AFD7E50E8E6}"/>
            </c:ext>
          </c:extLst>
        </c:ser>
        <c:ser>
          <c:idx val="4"/>
          <c:order val="4"/>
          <c:tx>
            <c:strRef>
              <c:f>Dashboard!$C$65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Dashboard!$D$65:$K$65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A2-429B-9DAA-7AFD7E50E8E6}"/>
            </c:ext>
          </c:extLst>
        </c:ser>
        <c:ser>
          <c:idx val="5"/>
          <c:order val="5"/>
          <c:tx>
            <c:strRef>
              <c:f>Dashboard!$C$66</c:f>
              <c:strCache>
                <c:ptCount val="1"/>
                <c:pt idx="0">
                  <c:v>F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Dashboard!$D$66:$K$66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A2-429B-9DAA-7AFD7E50E8E6}"/>
            </c:ext>
          </c:extLst>
        </c:ser>
        <c:ser>
          <c:idx val="6"/>
          <c:order val="6"/>
          <c:tx>
            <c:strRef>
              <c:f>Dashboard!$C$67</c:f>
              <c:strCache>
                <c:ptCount val="1"/>
                <c:pt idx="0">
                  <c:v>G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Dashboard!$D$67:$K$67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A2-429B-9DAA-7AFD7E50E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645535"/>
        <c:axId val="555651775"/>
      </c:lineChart>
      <c:catAx>
        <c:axId val="55564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51775"/>
        <c:crosses val="autoZero"/>
        <c:auto val="1"/>
        <c:lblAlgn val="ctr"/>
        <c:lblOffset val="100"/>
        <c:noMultiLvlLbl val="0"/>
      </c:catAx>
      <c:valAx>
        <c:axId val="5556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455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en-US" sz="1200">
                <a:latin typeface="+mn-lt"/>
              </a:rPr>
              <a:t>Return on Equity | Section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Dashboard!$C$68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Dashboard!$D$68:$K$68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B-4A0B-9060-593746A2DBCE}"/>
            </c:ext>
          </c:extLst>
        </c:ser>
        <c:ser>
          <c:idx val="1"/>
          <c:order val="1"/>
          <c:tx>
            <c:strRef>
              <c:f>Dashboard!$C$69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Dashboard!$D$69:$K$69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B-4A0B-9060-593746A2DBCE}"/>
            </c:ext>
          </c:extLst>
        </c:ser>
        <c:ser>
          <c:idx val="2"/>
          <c:order val="2"/>
          <c:tx>
            <c:strRef>
              <c:f>Dashboard!$C$70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Dashboard!$D$70:$K$70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B-4A0B-9060-593746A2DBCE}"/>
            </c:ext>
          </c:extLst>
        </c:ser>
        <c:ser>
          <c:idx val="3"/>
          <c:order val="3"/>
          <c:tx>
            <c:strRef>
              <c:f>Dashboard!$C$71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Dashboard!$D$71:$K$71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B-4A0B-9060-593746A2DBCE}"/>
            </c:ext>
          </c:extLst>
        </c:ser>
        <c:ser>
          <c:idx val="4"/>
          <c:order val="4"/>
          <c:tx>
            <c:strRef>
              <c:f>Dashboard!$C$72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Dashboard!$D$72:$K$72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B-4A0B-9060-593746A2DBCE}"/>
            </c:ext>
          </c:extLst>
        </c:ser>
        <c:ser>
          <c:idx val="5"/>
          <c:order val="5"/>
          <c:tx>
            <c:strRef>
              <c:f>Dashboard!$C$73</c:f>
              <c:strCache>
                <c:ptCount val="1"/>
                <c:pt idx="0">
                  <c:v>F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Dashboard!$D$73:$K$73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DB-4A0B-9060-593746A2DBCE}"/>
            </c:ext>
          </c:extLst>
        </c:ser>
        <c:ser>
          <c:idx val="6"/>
          <c:order val="6"/>
          <c:tx>
            <c:strRef>
              <c:f>Dashboard!$C$74</c:f>
              <c:strCache>
                <c:ptCount val="1"/>
                <c:pt idx="0">
                  <c:v>G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Dashboard!$D$46:$K$46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Dashboard!$D$74:$K$74</c:f>
            </c:numRef>
          </c:val>
          <c:smooth val="0"/>
          <c:extLst>
            <c:ext xmlns:c16="http://schemas.microsoft.com/office/drawing/2014/chart" uri="{C3380CC4-5D6E-409C-BE32-E72D297353CC}">
              <c16:uniqueId val="{00000006-32DB-4A0B-9060-593746A2D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645535"/>
        <c:axId val="555651775"/>
      </c:lineChart>
      <c:catAx>
        <c:axId val="55564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51775"/>
        <c:crosses val="autoZero"/>
        <c:auto val="1"/>
        <c:lblAlgn val="ctr"/>
        <c:lblOffset val="100"/>
        <c:noMultiLvlLbl val="0"/>
      </c:catAx>
      <c:valAx>
        <c:axId val="5556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455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en-US" sz="1200">
                <a:latin typeface="+mn-lt"/>
              </a:rPr>
              <a:t>Return on Assets | Section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CE245BA-59DD-4DCC-908C-646F3139B93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87A-4601-86E6-008E34EA40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F2B86D-E836-4464-AA3F-16ED11EA48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87A-4601-86E6-008E34EA40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BCDFD0-DC83-4E05-B094-735A3358D4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87A-4601-86E6-008E34EA40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C73157-D8AB-4BAB-9EA4-6A7F0D15BE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87A-4601-86E6-008E34EA40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B7DB63-C38C-47A6-8773-3443C0330B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87A-4601-86E6-008E34EA40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2409E3-AB33-4A60-9C2C-9F179AFAA4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87A-4601-86E6-008E34EA40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C6662A-A288-474D-9006-C9ACDB1D45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87A-4601-86E6-008E34EA4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Dashboard!$V$6:$V$12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Dashboard!$U$6:$U$12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Dashboard!$T$6:$T$12</c15:f>
                <c15:dlblRangeCache>
                  <c:ptCount val="7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A87A-4601-86E6-008E34EA4064}"/>
            </c:ext>
          </c:extLst>
        </c:ser>
        <c:ser>
          <c:idx val="1"/>
          <c:order val="1"/>
          <c:tx>
            <c:strRef>
              <c:f>Dashboard!$X$4</c:f>
              <c:strCache>
                <c:ptCount val="1"/>
                <c:pt idx="0">
                  <c:v>ROA = 15%</c:v>
                </c:pt>
              </c:strCache>
            </c:strRef>
          </c:tx>
          <c:spPr>
            <a:ln w="88900" cap="rnd" cmpd="sng">
              <a:solidFill>
                <a:srgbClr val="00B050">
                  <a:alpha val="3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Dashboard!$Y$9:$Y$28</c:f>
              <c:numCache>
                <c:formatCode>_(* #,##0.00_);_(* \(#,##0.00\);_(* "-"??_);_(@_)</c:formatCode>
                <c:ptCount val="20"/>
                <c:pt idx="0">
                  <c:v>0.37499999999999994</c:v>
                </c:pt>
                <c:pt idx="1">
                  <c:v>0.39473684210526316</c:v>
                </c:pt>
                <c:pt idx="2">
                  <c:v>0.41666666666666669</c:v>
                </c:pt>
                <c:pt idx="3">
                  <c:v>0.44117647058823534</c:v>
                </c:pt>
                <c:pt idx="4">
                  <c:v>0.46875000000000006</c:v>
                </c:pt>
                <c:pt idx="5">
                  <c:v>0.50000000000000011</c:v>
                </c:pt>
                <c:pt idx="6">
                  <c:v>0.53571428571428581</c:v>
                </c:pt>
                <c:pt idx="7">
                  <c:v>0.57692307692307709</c:v>
                </c:pt>
                <c:pt idx="8">
                  <c:v>0.62500000000000022</c:v>
                </c:pt>
                <c:pt idx="9">
                  <c:v>0.6818181818181821</c:v>
                </c:pt>
                <c:pt idx="10">
                  <c:v>0.75000000000000022</c:v>
                </c:pt>
                <c:pt idx="11">
                  <c:v>0.83333333333333359</c:v>
                </c:pt>
                <c:pt idx="12">
                  <c:v>0.93750000000000022</c:v>
                </c:pt>
                <c:pt idx="13">
                  <c:v>1.0714285714285716</c:v>
                </c:pt>
                <c:pt idx="14">
                  <c:v>1.2500000000000004</c:v>
                </c:pt>
                <c:pt idx="15">
                  <c:v>1.5000000000000007</c:v>
                </c:pt>
                <c:pt idx="16">
                  <c:v>1.8750000000000011</c:v>
                </c:pt>
                <c:pt idx="17">
                  <c:v>2.5000000000000022</c:v>
                </c:pt>
                <c:pt idx="18">
                  <c:v>3.7500000000000058</c:v>
                </c:pt>
                <c:pt idx="19">
                  <c:v>7.5000000000000231</c:v>
                </c:pt>
              </c:numCache>
            </c:numRef>
          </c:xVal>
          <c:yVal>
            <c:numRef>
              <c:f>Dashboard!$X$9:$X$28</c:f>
              <c:numCache>
                <c:formatCode>0%</c:formatCode>
                <c:ptCount val="20"/>
                <c:pt idx="0">
                  <c:v>0.4</c:v>
                </c:pt>
                <c:pt idx="1">
                  <c:v>0.38</c:v>
                </c:pt>
                <c:pt idx="2">
                  <c:v>0.36</c:v>
                </c:pt>
                <c:pt idx="3">
                  <c:v>0.33999999999999997</c:v>
                </c:pt>
                <c:pt idx="4">
                  <c:v>0.31999999999999995</c:v>
                </c:pt>
                <c:pt idx="5">
                  <c:v>0.29999999999999993</c:v>
                </c:pt>
                <c:pt idx="6">
                  <c:v>0.27999999999999992</c:v>
                </c:pt>
                <c:pt idx="7">
                  <c:v>0.2599999999999999</c:v>
                </c:pt>
                <c:pt idx="8">
                  <c:v>0.23999999999999991</c:v>
                </c:pt>
                <c:pt idx="9">
                  <c:v>0.21999999999999992</c:v>
                </c:pt>
                <c:pt idx="10">
                  <c:v>0.19999999999999993</c:v>
                </c:pt>
                <c:pt idx="11">
                  <c:v>0.17999999999999994</c:v>
                </c:pt>
                <c:pt idx="12">
                  <c:v>0.15999999999999995</c:v>
                </c:pt>
                <c:pt idx="13">
                  <c:v>0.13999999999999996</c:v>
                </c:pt>
                <c:pt idx="14">
                  <c:v>0.11999999999999995</c:v>
                </c:pt>
                <c:pt idx="15">
                  <c:v>9.999999999999995E-2</c:v>
                </c:pt>
                <c:pt idx="16">
                  <c:v>7.9999999999999946E-2</c:v>
                </c:pt>
                <c:pt idx="17">
                  <c:v>5.9999999999999942E-2</c:v>
                </c:pt>
                <c:pt idx="18">
                  <c:v>3.9999999999999938E-2</c:v>
                </c:pt>
                <c:pt idx="19">
                  <c:v>1.9999999999999938E-2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7A-4601-86E6-008E34EA4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645535"/>
        <c:axId val="555651775"/>
      </c:scatterChart>
      <c:valAx>
        <c:axId val="555645535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Asset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51775"/>
        <c:crosses val="autoZero"/>
        <c:crossBetween val="midCat"/>
      </c:valAx>
      <c:valAx>
        <c:axId val="555651775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4553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13856370363343137"/>
          <c:y val="0.11865175008147999"/>
          <c:w val="0.18739716681088467"/>
          <c:h val="6.8934306005866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23</xdr:row>
      <xdr:rowOff>46673</xdr:rowOff>
    </xdr:from>
    <xdr:to>
      <xdr:col>6</xdr:col>
      <xdr:colOff>409575</xdr:colOff>
      <xdr:row>40</xdr:row>
      <xdr:rowOff>46673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CC9DC-AE68-CE70-BC6F-BDEB8F5DB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23</xdr:row>
      <xdr:rowOff>38101</xdr:rowOff>
    </xdr:from>
    <xdr:to>
      <xdr:col>13</xdr:col>
      <xdr:colOff>259080</xdr:colOff>
      <xdr:row>40</xdr:row>
      <xdr:rowOff>38101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5E1A6E-EC26-4993-A0C3-C996B8166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440055</xdr:colOff>
      <xdr:row>23</xdr:row>
      <xdr:rowOff>28575</xdr:rowOff>
    </xdr:from>
    <xdr:to>
      <xdr:col>20</xdr:col>
      <xdr:colOff>152400</xdr:colOff>
      <xdr:row>40</xdr:row>
      <xdr:rowOff>25186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B84B14-F48B-EB5D-00AB-8C49BEE18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455295</xdr:colOff>
      <xdr:row>2</xdr:row>
      <xdr:rowOff>20002</xdr:rowOff>
    </xdr:from>
    <xdr:to>
      <xdr:col>10</xdr:col>
      <xdr:colOff>169545</xdr:colOff>
      <xdr:row>19</xdr:row>
      <xdr:rowOff>16613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C776E0-A195-307D-B06C-75A0A490D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</xdr:row>
      <xdr:rowOff>1</xdr:rowOff>
    </xdr:from>
    <xdr:to>
      <xdr:col>18</xdr:col>
      <xdr:colOff>508635</xdr:colOff>
      <xdr:row>19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793345-2883-4E93-B8DE-9627839FC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075D-F196-364D-BF24-56A2FC35C05F}">
  <dimension ref="A4:Y75"/>
  <sheetViews>
    <sheetView tabSelected="1" topLeftCell="A40" workbookViewId="0">
      <selection activeCell="K59" sqref="K59"/>
    </sheetView>
  </sheetViews>
  <sheetFormatPr defaultColWidth="11.46484375" defaultRowHeight="14.25" x14ac:dyDescent="0.45"/>
  <cols>
    <col min="2" max="2" width="18.796875" bestFit="1" customWidth="1"/>
  </cols>
  <sheetData>
    <row r="4" spans="20:25" x14ac:dyDescent="0.45">
      <c r="U4" s="40" t="s">
        <v>91</v>
      </c>
      <c r="X4" s="40" t="s">
        <v>95</v>
      </c>
      <c r="Y4" s="43">
        <v>0.15</v>
      </c>
    </row>
    <row r="5" spans="20:25" x14ac:dyDescent="0.45">
      <c r="T5" s="44"/>
      <c r="U5" s="45" t="s">
        <v>93</v>
      </c>
      <c r="V5" s="45" t="s">
        <v>92</v>
      </c>
      <c r="X5" s="40" t="s">
        <v>94</v>
      </c>
      <c r="Y5">
        <v>0.02</v>
      </c>
    </row>
    <row r="6" spans="20:25" x14ac:dyDescent="0.45">
      <c r="T6" s="45" t="s">
        <v>71</v>
      </c>
      <c r="U6" s="46" t="e">
        <f>D47</f>
        <v>#DIV/0!</v>
      </c>
      <c r="V6" s="47" t="e">
        <f>D54</f>
        <v>#DIV/0!</v>
      </c>
    </row>
    <row r="7" spans="20:25" x14ac:dyDescent="0.45">
      <c r="T7" s="45" t="s">
        <v>72</v>
      </c>
      <c r="U7" s="46" t="e">
        <f t="shared" ref="U7:U12" si="0">D48</f>
        <v>#DIV/0!</v>
      </c>
      <c r="V7" s="47" t="e">
        <f t="shared" ref="V7:V12" si="1">D55</f>
        <v>#DIV/0!</v>
      </c>
    </row>
    <row r="8" spans="20:25" x14ac:dyDescent="0.45">
      <c r="T8" s="45" t="s">
        <v>73</v>
      </c>
      <c r="U8" s="46" t="e">
        <f t="shared" si="0"/>
        <v>#DIV/0!</v>
      </c>
      <c r="V8" s="47" t="e">
        <f t="shared" si="1"/>
        <v>#DIV/0!</v>
      </c>
      <c r="X8" s="40" t="s">
        <v>93</v>
      </c>
      <c r="Y8" s="40" t="s">
        <v>92</v>
      </c>
    </row>
    <row r="9" spans="20:25" x14ac:dyDescent="0.45">
      <c r="T9" s="45" t="s">
        <v>74</v>
      </c>
      <c r="U9" s="46" t="e">
        <f t="shared" si="0"/>
        <v>#DIV/0!</v>
      </c>
      <c r="V9" s="47" t="e">
        <f t="shared" si="1"/>
        <v>#DIV/0!</v>
      </c>
      <c r="X9" s="43">
        <v>0.4</v>
      </c>
      <c r="Y9" s="30">
        <f>$Y$4/X9</f>
        <v>0.37499999999999994</v>
      </c>
    </row>
    <row r="10" spans="20:25" x14ac:dyDescent="0.45">
      <c r="T10" s="45" t="s">
        <v>75</v>
      </c>
      <c r="U10" s="46" t="e">
        <f t="shared" si="0"/>
        <v>#DIV/0!</v>
      </c>
      <c r="V10" s="47" t="e">
        <f t="shared" si="1"/>
        <v>#DIV/0!</v>
      </c>
      <c r="X10" s="43">
        <f>X9-$Y$5</f>
        <v>0.38</v>
      </c>
      <c r="Y10" s="30">
        <f t="shared" ref="Y10:Y28" si="2">$Y$4/X10</f>
        <v>0.39473684210526316</v>
      </c>
    </row>
    <row r="11" spans="20:25" x14ac:dyDescent="0.45">
      <c r="T11" s="45" t="s">
        <v>76</v>
      </c>
      <c r="U11" s="46" t="e">
        <f t="shared" si="0"/>
        <v>#DIV/0!</v>
      </c>
      <c r="V11" s="47" t="e">
        <f t="shared" si="1"/>
        <v>#DIV/0!</v>
      </c>
      <c r="X11" s="43">
        <f t="shared" ref="X11:X28" si="3">X10-$Y$5</f>
        <v>0.36</v>
      </c>
      <c r="Y11" s="30">
        <f t="shared" si="2"/>
        <v>0.41666666666666669</v>
      </c>
    </row>
    <row r="12" spans="20:25" x14ac:dyDescent="0.45">
      <c r="T12" s="45" t="s">
        <v>77</v>
      </c>
      <c r="U12" s="46" t="e">
        <f t="shared" si="0"/>
        <v>#DIV/0!</v>
      </c>
      <c r="V12" s="47" t="e">
        <f t="shared" si="1"/>
        <v>#DIV/0!</v>
      </c>
      <c r="X12" s="43">
        <f t="shared" si="3"/>
        <v>0.33999999999999997</v>
      </c>
      <c r="Y12" s="30">
        <f t="shared" si="2"/>
        <v>0.44117647058823534</v>
      </c>
    </row>
    <row r="13" spans="20:25" x14ac:dyDescent="0.45">
      <c r="X13" s="43">
        <f t="shared" si="3"/>
        <v>0.31999999999999995</v>
      </c>
      <c r="Y13" s="30">
        <f t="shared" si="2"/>
        <v>0.46875000000000006</v>
      </c>
    </row>
    <row r="14" spans="20:25" x14ac:dyDescent="0.45">
      <c r="X14" s="43">
        <f t="shared" si="3"/>
        <v>0.29999999999999993</v>
      </c>
      <c r="Y14" s="30">
        <f t="shared" si="2"/>
        <v>0.50000000000000011</v>
      </c>
    </row>
    <row r="15" spans="20:25" x14ac:dyDescent="0.45">
      <c r="X15" s="43">
        <f t="shared" si="3"/>
        <v>0.27999999999999992</v>
      </c>
      <c r="Y15" s="30">
        <f t="shared" si="2"/>
        <v>0.53571428571428581</v>
      </c>
    </row>
    <row r="16" spans="20:25" x14ac:dyDescent="0.45">
      <c r="X16" s="43">
        <f t="shared" si="3"/>
        <v>0.2599999999999999</v>
      </c>
      <c r="Y16" s="30">
        <f t="shared" si="2"/>
        <v>0.57692307692307709</v>
      </c>
    </row>
    <row r="17" spans="24:25" x14ac:dyDescent="0.45">
      <c r="X17" s="43">
        <f t="shared" si="3"/>
        <v>0.23999999999999991</v>
      </c>
      <c r="Y17" s="30">
        <f t="shared" si="2"/>
        <v>0.62500000000000022</v>
      </c>
    </row>
    <row r="18" spans="24:25" x14ac:dyDescent="0.45">
      <c r="X18" s="43">
        <f t="shared" si="3"/>
        <v>0.21999999999999992</v>
      </c>
      <c r="Y18" s="30">
        <f t="shared" si="2"/>
        <v>0.6818181818181821</v>
      </c>
    </row>
    <row r="19" spans="24:25" x14ac:dyDescent="0.45">
      <c r="X19" s="43">
        <f t="shared" si="3"/>
        <v>0.19999999999999993</v>
      </c>
      <c r="Y19" s="30">
        <f t="shared" si="2"/>
        <v>0.75000000000000022</v>
      </c>
    </row>
    <row r="20" spans="24:25" x14ac:dyDescent="0.45">
      <c r="X20" s="43">
        <f t="shared" si="3"/>
        <v>0.17999999999999994</v>
      </c>
      <c r="Y20" s="30">
        <f t="shared" si="2"/>
        <v>0.83333333333333359</v>
      </c>
    </row>
    <row r="21" spans="24:25" x14ac:dyDescent="0.45">
      <c r="X21" s="43">
        <f t="shared" si="3"/>
        <v>0.15999999999999995</v>
      </c>
      <c r="Y21" s="30">
        <f t="shared" si="2"/>
        <v>0.93750000000000022</v>
      </c>
    </row>
    <row r="22" spans="24:25" x14ac:dyDescent="0.45">
      <c r="X22" s="43">
        <f t="shared" si="3"/>
        <v>0.13999999999999996</v>
      </c>
      <c r="Y22" s="30">
        <f t="shared" si="2"/>
        <v>1.0714285714285716</v>
      </c>
    </row>
    <row r="23" spans="24:25" x14ac:dyDescent="0.45">
      <c r="X23" s="43">
        <f t="shared" si="3"/>
        <v>0.11999999999999995</v>
      </c>
      <c r="Y23" s="30">
        <f t="shared" si="2"/>
        <v>1.2500000000000004</v>
      </c>
    </row>
    <row r="24" spans="24:25" x14ac:dyDescent="0.45">
      <c r="X24" s="43">
        <f t="shared" si="3"/>
        <v>9.999999999999995E-2</v>
      </c>
      <c r="Y24" s="30">
        <f t="shared" si="2"/>
        <v>1.5000000000000007</v>
      </c>
    </row>
    <row r="25" spans="24:25" x14ac:dyDescent="0.45">
      <c r="X25" s="43">
        <f t="shared" si="3"/>
        <v>7.9999999999999946E-2</v>
      </c>
      <c r="Y25" s="30">
        <f t="shared" si="2"/>
        <v>1.8750000000000011</v>
      </c>
    </row>
    <row r="26" spans="24:25" x14ac:dyDescent="0.45">
      <c r="X26" s="43">
        <f t="shared" si="3"/>
        <v>5.9999999999999942E-2</v>
      </c>
      <c r="Y26" s="30">
        <f t="shared" si="2"/>
        <v>2.5000000000000022</v>
      </c>
    </row>
    <row r="27" spans="24:25" x14ac:dyDescent="0.45">
      <c r="X27" s="43">
        <f t="shared" si="3"/>
        <v>3.9999999999999938E-2</v>
      </c>
      <c r="Y27" s="30">
        <f t="shared" si="2"/>
        <v>3.7500000000000058</v>
      </c>
    </row>
    <row r="28" spans="24:25" x14ac:dyDescent="0.45">
      <c r="X28" s="43">
        <f t="shared" si="3"/>
        <v>1.9999999999999938E-2</v>
      </c>
      <c r="Y28" s="30">
        <f t="shared" si="2"/>
        <v>7.5000000000000231</v>
      </c>
    </row>
    <row r="46" spans="1:11" x14ac:dyDescent="0.45">
      <c r="A46" s="1" t="s">
        <v>89</v>
      </c>
      <c r="B46" s="1" t="s">
        <v>88</v>
      </c>
      <c r="C46" s="1" t="s">
        <v>87</v>
      </c>
      <c r="D46" s="1" t="s">
        <v>79</v>
      </c>
      <c r="E46" s="1" t="s">
        <v>80</v>
      </c>
      <c r="F46" s="1" t="s">
        <v>81</v>
      </c>
      <c r="G46" s="1" t="s">
        <v>82</v>
      </c>
      <c r="H46" s="1" t="s">
        <v>83</v>
      </c>
      <c r="I46" s="1" t="s">
        <v>84</v>
      </c>
      <c r="J46" s="1" t="s">
        <v>85</v>
      </c>
      <c r="K46" s="1" t="s">
        <v>86</v>
      </c>
    </row>
    <row r="47" spans="1:11" x14ac:dyDescent="0.45">
      <c r="A47" s="40" t="s">
        <v>78</v>
      </c>
      <c r="B47" s="40" t="s">
        <v>35</v>
      </c>
      <c r="C47" s="40" t="s">
        <v>71</v>
      </c>
      <c r="D47" s="41" t="e">
        <f>'Year 1'!$D$44</f>
        <v>#DIV/0!</v>
      </c>
      <c r="E47" s="41" t="e">
        <f>'Year 2'!$D$44</f>
        <v>#DIV/0!</v>
      </c>
      <c r="F47" s="41" t="e">
        <f>'Year 3'!$D$44</f>
        <v>#DIV/0!</v>
      </c>
      <c r="G47" s="41" t="e">
        <f>'Year 4'!$D$44</f>
        <v>#DIV/0!</v>
      </c>
      <c r="H47" s="41" t="e">
        <f>'Year 5'!$D$44</f>
        <v>#DIV/0!</v>
      </c>
      <c r="I47" s="41" t="e">
        <f>'Year 6'!$D$44</f>
        <v>#DIV/0!</v>
      </c>
      <c r="J47" s="41" t="e">
        <f>'Year 7'!$D$44</f>
        <v>#DIV/0!</v>
      </c>
      <c r="K47" s="41" t="e">
        <f>'Year 8'!$D$44</f>
        <v>#DIV/0!</v>
      </c>
    </row>
    <row r="48" spans="1:11" x14ac:dyDescent="0.45">
      <c r="A48" s="40" t="s">
        <v>78</v>
      </c>
      <c r="B48" s="40" t="s">
        <v>35</v>
      </c>
      <c r="C48" s="40" t="s">
        <v>72</v>
      </c>
      <c r="D48" s="41" t="e">
        <f>'Year 1'!$E$44</f>
        <v>#DIV/0!</v>
      </c>
      <c r="E48" s="41" t="e">
        <f>'Year 2'!$E$44</f>
        <v>#DIV/0!</v>
      </c>
      <c r="F48" s="41" t="e">
        <f>'Year 3'!$E$44</f>
        <v>#DIV/0!</v>
      </c>
      <c r="G48" s="41" t="e">
        <f>'Year 4'!$E$44</f>
        <v>#DIV/0!</v>
      </c>
      <c r="H48" s="41" t="e">
        <f>'Year 5'!$E$44</f>
        <v>#DIV/0!</v>
      </c>
      <c r="I48" s="41" t="e">
        <f>'Year 6'!$E$44</f>
        <v>#DIV/0!</v>
      </c>
      <c r="J48" s="41" t="e">
        <f>'Year 7'!$E$44</f>
        <v>#DIV/0!</v>
      </c>
      <c r="K48" s="41" t="e">
        <f>'Year 8'!$E$44</f>
        <v>#DIV/0!</v>
      </c>
    </row>
    <row r="49" spans="1:11" x14ac:dyDescent="0.45">
      <c r="A49" s="40" t="s">
        <v>78</v>
      </c>
      <c r="B49" s="40" t="s">
        <v>35</v>
      </c>
      <c r="C49" s="40" t="s">
        <v>73</v>
      </c>
      <c r="D49" s="41" t="e">
        <f>'Year 1'!$F$44</f>
        <v>#DIV/0!</v>
      </c>
      <c r="E49" s="41" t="e">
        <f>'Year 2'!$F$44</f>
        <v>#DIV/0!</v>
      </c>
      <c r="F49" s="41" t="e">
        <f>'Year 3'!$F$44</f>
        <v>#DIV/0!</v>
      </c>
      <c r="G49" s="41" t="e">
        <f>'Year 4'!$F$44</f>
        <v>#DIV/0!</v>
      </c>
      <c r="H49" s="41" t="e">
        <f>'Year 5'!$F$44</f>
        <v>#DIV/0!</v>
      </c>
      <c r="I49" s="41" t="e">
        <f>'Year 6'!$F$44</f>
        <v>#DIV/0!</v>
      </c>
      <c r="J49" s="41" t="e">
        <f>'Year 7'!$F$44</f>
        <v>#DIV/0!</v>
      </c>
      <c r="K49" s="41" t="e">
        <f>'Year 8'!$F$44</f>
        <v>#DIV/0!</v>
      </c>
    </row>
    <row r="50" spans="1:11" x14ac:dyDescent="0.45">
      <c r="A50" s="40" t="s">
        <v>78</v>
      </c>
      <c r="B50" s="40" t="s">
        <v>35</v>
      </c>
      <c r="C50" s="40" t="s">
        <v>74</v>
      </c>
      <c r="D50" s="41" t="e">
        <f>'Year 1'!$G$44</f>
        <v>#DIV/0!</v>
      </c>
      <c r="E50" s="41" t="e">
        <f>'Year 2'!$G$44</f>
        <v>#DIV/0!</v>
      </c>
      <c r="F50" s="41" t="e">
        <f>'Year 3'!$G$44</f>
        <v>#DIV/0!</v>
      </c>
      <c r="G50" s="41" t="e">
        <f>'Year 4'!$G$44</f>
        <v>#DIV/0!</v>
      </c>
      <c r="H50" s="41" t="e">
        <f>'Year 5'!$G$44</f>
        <v>#DIV/0!</v>
      </c>
      <c r="I50" s="41" t="e">
        <f>'Year 6'!$G$44</f>
        <v>#DIV/0!</v>
      </c>
      <c r="J50" s="41" t="e">
        <f>'Year 7'!$G$44</f>
        <v>#DIV/0!</v>
      </c>
      <c r="K50" s="41" t="e">
        <f>'Year 8'!$G$44</f>
        <v>#DIV/0!</v>
      </c>
    </row>
    <row r="51" spans="1:11" x14ac:dyDescent="0.45">
      <c r="A51" s="40" t="s">
        <v>78</v>
      </c>
      <c r="B51" s="40" t="s">
        <v>35</v>
      </c>
      <c r="C51" s="40" t="s">
        <v>75</v>
      </c>
      <c r="D51" s="41" t="e">
        <f>'Year 1'!$H$44</f>
        <v>#DIV/0!</v>
      </c>
      <c r="E51" s="41" t="e">
        <f>'Year 2'!$H$44</f>
        <v>#DIV/0!</v>
      </c>
      <c r="F51" s="41" t="e">
        <f>'Year 3'!$H$44</f>
        <v>#DIV/0!</v>
      </c>
      <c r="G51" s="41" t="e">
        <f>'Year 4'!$H$44</f>
        <v>#DIV/0!</v>
      </c>
      <c r="H51" s="41" t="e">
        <f>'Year 5'!$H$44</f>
        <v>#DIV/0!</v>
      </c>
      <c r="I51" s="41" t="e">
        <f>'Year 6'!$H$44</f>
        <v>#DIV/0!</v>
      </c>
      <c r="J51" s="41" t="e">
        <f>'Year 7'!$H$44</f>
        <v>#DIV/0!</v>
      </c>
      <c r="K51" s="41" t="e">
        <f>'Year 8'!$H$44</f>
        <v>#DIV/0!</v>
      </c>
    </row>
    <row r="52" spans="1:11" x14ac:dyDescent="0.45">
      <c r="A52" s="40" t="s">
        <v>78</v>
      </c>
      <c r="B52" s="40" t="s">
        <v>35</v>
      </c>
      <c r="C52" s="40" t="s">
        <v>76</v>
      </c>
      <c r="D52" s="41" t="e">
        <f>'Year 1'!$I$44</f>
        <v>#DIV/0!</v>
      </c>
      <c r="E52" s="41" t="e">
        <f>'Year 2'!$I$44</f>
        <v>#DIV/0!</v>
      </c>
      <c r="F52" s="41" t="e">
        <f>'Year 3'!$I$44</f>
        <v>#DIV/0!</v>
      </c>
      <c r="G52" s="41" t="e">
        <f>'Year 4'!$I$44</f>
        <v>#DIV/0!</v>
      </c>
      <c r="H52" s="41" t="e">
        <f>'Year 5'!$I$44</f>
        <v>#DIV/0!</v>
      </c>
      <c r="I52" s="41" t="e">
        <f>'Year 6'!$I$44</f>
        <v>#DIV/0!</v>
      </c>
      <c r="J52" s="41" t="e">
        <f>'Year 7'!$I$44</f>
        <v>#DIV/0!</v>
      </c>
      <c r="K52" s="41" t="e">
        <f>'Year 8'!$I$44</f>
        <v>#DIV/0!</v>
      </c>
    </row>
    <row r="53" spans="1:11" x14ac:dyDescent="0.45">
      <c r="A53" s="40" t="s">
        <v>78</v>
      </c>
      <c r="B53" s="40" t="s">
        <v>35</v>
      </c>
      <c r="C53" s="40" t="s">
        <v>77</v>
      </c>
      <c r="D53" s="41" t="e">
        <f>'Year 1'!$J$44</f>
        <v>#DIV/0!</v>
      </c>
      <c r="E53" s="41" t="e">
        <f>'Year 2'!$J$44</f>
        <v>#DIV/0!</v>
      </c>
      <c r="F53" s="41" t="e">
        <f>'Year 3'!$J$44</f>
        <v>#DIV/0!</v>
      </c>
      <c r="G53" s="41" t="e">
        <f>'Year 4'!$J$44</f>
        <v>#DIV/0!</v>
      </c>
      <c r="H53" s="41" t="e">
        <f>'Year 5'!$J$44</f>
        <v>#DIV/0!</v>
      </c>
      <c r="I53" s="41" t="e">
        <f>'Year 6'!$J$44</f>
        <v>#DIV/0!</v>
      </c>
      <c r="J53" s="41" t="e">
        <f>'Year 7'!$J$44</f>
        <v>#DIV/0!</v>
      </c>
      <c r="K53" s="41" t="e">
        <f>'Year 8'!$J$44</f>
        <v>#DIV/0!</v>
      </c>
    </row>
    <row r="54" spans="1:11" x14ac:dyDescent="0.45">
      <c r="A54" s="40" t="s">
        <v>78</v>
      </c>
      <c r="B54" s="40" t="s">
        <v>47</v>
      </c>
      <c r="C54" s="40" t="s">
        <v>71</v>
      </c>
      <c r="D54" s="42" t="e">
        <f>'Year 1'!$D$57</f>
        <v>#DIV/0!</v>
      </c>
      <c r="E54" s="42" t="e">
        <f>'Year 2'!$D$57</f>
        <v>#DIV/0!</v>
      </c>
      <c r="F54" s="42" t="e">
        <f>'Year 3'!$D$57</f>
        <v>#DIV/0!</v>
      </c>
      <c r="G54" s="42" t="e">
        <f>'Year 4'!$D$57</f>
        <v>#DIV/0!</v>
      </c>
      <c r="H54" s="42" t="e">
        <f>'Year 5'!$D$57</f>
        <v>#DIV/0!</v>
      </c>
      <c r="I54" s="42" t="e">
        <f>'Year 6'!$D$57</f>
        <v>#DIV/0!</v>
      </c>
      <c r="J54" s="42" t="e">
        <f>'Year 7'!$D$57</f>
        <v>#DIV/0!</v>
      </c>
      <c r="K54" s="42" t="e">
        <f>'Year 8'!$D$57</f>
        <v>#DIV/0!</v>
      </c>
    </row>
    <row r="55" spans="1:11" x14ac:dyDescent="0.45">
      <c r="A55" s="40" t="s">
        <v>78</v>
      </c>
      <c r="B55" s="40" t="s">
        <v>47</v>
      </c>
      <c r="C55" s="40" t="s">
        <v>72</v>
      </c>
      <c r="D55" s="42" t="e">
        <f>'Year 1'!$E$57</f>
        <v>#DIV/0!</v>
      </c>
      <c r="E55" s="42" t="e">
        <f>'Year 2'!$E$57</f>
        <v>#DIV/0!</v>
      </c>
      <c r="F55" s="42" t="e">
        <f>'Year 3'!$E$57</f>
        <v>#DIV/0!</v>
      </c>
      <c r="G55" s="42" t="e">
        <f>'Year 4'!$E$57</f>
        <v>#DIV/0!</v>
      </c>
      <c r="H55" s="42" t="e">
        <f>'Year 5'!$E$57</f>
        <v>#DIV/0!</v>
      </c>
      <c r="I55" s="42" t="e">
        <f>'Year 6'!$E$57</f>
        <v>#DIV/0!</v>
      </c>
      <c r="J55" s="42" t="e">
        <f>'Year 7'!$E$57</f>
        <v>#DIV/0!</v>
      </c>
      <c r="K55" s="42" t="e">
        <f>'Year 8'!$E$57</f>
        <v>#DIV/0!</v>
      </c>
    </row>
    <row r="56" spans="1:11" x14ac:dyDescent="0.45">
      <c r="A56" s="40" t="s">
        <v>78</v>
      </c>
      <c r="B56" s="40" t="s">
        <v>47</v>
      </c>
      <c r="C56" s="40" t="s">
        <v>73</v>
      </c>
      <c r="D56" s="42" t="e">
        <f>'Year 1'!$F$57</f>
        <v>#DIV/0!</v>
      </c>
      <c r="E56" s="42" t="e">
        <f>'Year 2'!$F$57</f>
        <v>#DIV/0!</v>
      </c>
      <c r="F56" s="42" t="e">
        <f>'Year 3'!$F$57</f>
        <v>#DIV/0!</v>
      </c>
      <c r="G56" s="42" t="e">
        <f>'Year 4'!$F$57</f>
        <v>#DIV/0!</v>
      </c>
      <c r="H56" s="42" t="e">
        <f>'Year 5'!$F$57</f>
        <v>#DIV/0!</v>
      </c>
      <c r="I56" s="42" t="e">
        <f>'Year 6'!$F$57</f>
        <v>#DIV/0!</v>
      </c>
      <c r="J56" s="42" t="e">
        <f>'Year 7'!$F$57</f>
        <v>#DIV/0!</v>
      </c>
      <c r="K56" s="42" t="e">
        <f>'Year 8'!$F$57</f>
        <v>#DIV/0!</v>
      </c>
    </row>
    <row r="57" spans="1:11" x14ac:dyDescent="0.45">
      <c r="A57" s="40" t="s">
        <v>78</v>
      </c>
      <c r="B57" s="40" t="s">
        <v>47</v>
      </c>
      <c r="C57" s="40" t="s">
        <v>74</v>
      </c>
      <c r="D57" s="42" t="e">
        <f>'Year 1'!$G$57</f>
        <v>#DIV/0!</v>
      </c>
      <c r="E57" s="42" t="e">
        <f>'Year 2'!$G$57</f>
        <v>#DIV/0!</v>
      </c>
      <c r="F57" s="42" t="e">
        <f>'Year 3'!$G$57</f>
        <v>#DIV/0!</v>
      </c>
      <c r="G57" s="42" t="e">
        <f>'Year 4'!$G$57</f>
        <v>#DIV/0!</v>
      </c>
      <c r="H57" s="42" t="e">
        <f>'Year 5'!$G$57</f>
        <v>#DIV/0!</v>
      </c>
      <c r="I57" s="42" t="e">
        <f>'Year 6'!$G$57</f>
        <v>#DIV/0!</v>
      </c>
      <c r="J57" s="42" t="e">
        <f>'Year 7'!$G$57</f>
        <v>#DIV/0!</v>
      </c>
      <c r="K57" s="42" t="e">
        <f>'Year 8'!$G$57</f>
        <v>#DIV/0!</v>
      </c>
    </row>
    <row r="58" spans="1:11" x14ac:dyDescent="0.45">
      <c r="A58" s="40" t="s">
        <v>78</v>
      </c>
      <c r="B58" s="40" t="s">
        <v>47</v>
      </c>
      <c r="C58" s="40" t="s">
        <v>75</v>
      </c>
      <c r="D58" s="42" t="e">
        <f>'Year 1'!$H$57</f>
        <v>#DIV/0!</v>
      </c>
      <c r="E58" s="42" t="e">
        <f>'Year 2'!$H$57</f>
        <v>#DIV/0!</v>
      </c>
      <c r="F58" s="42" t="e">
        <f>'Year 3'!$H$57</f>
        <v>#DIV/0!</v>
      </c>
      <c r="G58" s="42" t="e">
        <f>'Year 4'!$H$57</f>
        <v>#DIV/0!</v>
      </c>
      <c r="H58" s="42" t="e">
        <f>'Year 5'!$H$57</f>
        <v>#DIV/0!</v>
      </c>
      <c r="I58" s="42" t="e">
        <f>'Year 6'!$H$57</f>
        <v>#DIV/0!</v>
      </c>
      <c r="J58" s="42" t="e">
        <f>'Year 7'!$H$57</f>
        <v>#DIV/0!</v>
      </c>
      <c r="K58" s="42" t="e">
        <f>'Year 8'!$H$57</f>
        <v>#DIV/0!</v>
      </c>
    </row>
    <row r="59" spans="1:11" x14ac:dyDescent="0.45">
      <c r="A59" s="40" t="s">
        <v>78</v>
      </c>
      <c r="B59" s="40" t="s">
        <v>47</v>
      </c>
      <c r="C59" s="40" t="s">
        <v>76</v>
      </c>
      <c r="D59" s="42" t="e">
        <f>'Year 1'!$I$57</f>
        <v>#DIV/0!</v>
      </c>
      <c r="E59" s="42" t="e">
        <f>'Year 2'!$I$57</f>
        <v>#DIV/0!</v>
      </c>
      <c r="F59" s="42" t="e">
        <f>'Year 3'!$I$57</f>
        <v>#DIV/0!</v>
      </c>
      <c r="G59" s="42" t="e">
        <f>'Year 4'!$I$57</f>
        <v>#DIV/0!</v>
      </c>
      <c r="H59" s="42" t="e">
        <f>'Year 5'!$I$57</f>
        <v>#DIV/0!</v>
      </c>
      <c r="I59" s="42" t="e">
        <f>'Year 6'!$I$57</f>
        <v>#DIV/0!</v>
      </c>
      <c r="J59" s="42" t="e">
        <f>'Year 7'!$I$57</f>
        <v>#DIV/0!</v>
      </c>
      <c r="K59" s="42" t="e">
        <f>'Year 8'!$I$57</f>
        <v>#DIV/0!</v>
      </c>
    </row>
    <row r="60" spans="1:11" x14ac:dyDescent="0.45">
      <c r="A60" s="40" t="s">
        <v>78</v>
      </c>
      <c r="B60" s="40" t="s">
        <v>47</v>
      </c>
      <c r="C60" s="40" t="s">
        <v>77</v>
      </c>
      <c r="D60" s="42" t="e">
        <f>'Year 1'!$J$57</f>
        <v>#DIV/0!</v>
      </c>
      <c r="E60" s="42" t="e">
        <f>'Year 2'!$J$57</f>
        <v>#DIV/0!</v>
      </c>
      <c r="F60" s="42" t="e">
        <f>'Year 3'!$J$57</f>
        <v>#DIV/0!</v>
      </c>
      <c r="G60" s="42" t="e">
        <f>'Year 4'!$J$57</f>
        <v>#DIV/0!</v>
      </c>
      <c r="H60" s="42" t="e">
        <f>'Year 5'!$J$57</f>
        <v>#DIV/0!</v>
      </c>
      <c r="I60" s="42" t="e">
        <f>'Year 6'!$J$57</f>
        <v>#DIV/0!</v>
      </c>
      <c r="J60" s="42" t="e">
        <f>'Year 7'!$J$57</f>
        <v>#DIV/0!</v>
      </c>
      <c r="K60" s="42" t="e">
        <f>'Year 8'!$J$57</f>
        <v>#DIV/0!</v>
      </c>
    </row>
    <row r="61" spans="1:11" x14ac:dyDescent="0.45">
      <c r="A61" s="40" t="s">
        <v>78</v>
      </c>
      <c r="B61" s="40" t="s">
        <v>90</v>
      </c>
      <c r="C61" s="40" t="s">
        <v>71</v>
      </c>
      <c r="D61" s="42" t="e">
        <f>'Year 1'!$D$48</f>
        <v>#DIV/0!</v>
      </c>
      <c r="E61" s="42" t="e">
        <f>'Year 2'!$D$48</f>
        <v>#DIV/0!</v>
      </c>
      <c r="F61" s="42" t="e">
        <f>'Year 3'!$D$48</f>
        <v>#DIV/0!</v>
      </c>
      <c r="G61" s="42" t="e">
        <f>'Year 4'!$D$48</f>
        <v>#DIV/0!</v>
      </c>
      <c r="H61" s="42" t="e">
        <f>'Year 5'!$D$48</f>
        <v>#DIV/0!</v>
      </c>
      <c r="I61" s="42" t="e">
        <f>'Year 6'!$D$48</f>
        <v>#DIV/0!</v>
      </c>
      <c r="J61" s="42" t="e">
        <f>'Year 7'!$D$48</f>
        <v>#DIV/0!</v>
      </c>
      <c r="K61" s="42" t="e">
        <f>'Year 8'!$D$48</f>
        <v>#DIV/0!</v>
      </c>
    </row>
    <row r="62" spans="1:11" x14ac:dyDescent="0.45">
      <c r="A62" s="40" t="s">
        <v>78</v>
      </c>
      <c r="B62" s="40" t="s">
        <v>90</v>
      </c>
      <c r="C62" s="40" t="s">
        <v>72</v>
      </c>
      <c r="D62" s="42" t="e">
        <f>'Year 1'!$E$48</f>
        <v>#DIV/0!</v>
      </c>
      <c r="E62" s="42" t="e">
        <f>'Year 2'!$E$48</f>
        <v>#DIV/0!</v>
      </c>
      <c r="F62" s="42" t="e">
        <f>'Year 3'!$E$48</f>
        <v>#DIV/0!</v>
      </c>
      <c r="G62" s="42" t="e">
        <f>'Year 4'!$E$48</f>
        <v>#DIV/0!</v>
      </c>
      <c r="H62" s="42" t="e">
        <f>'Year 5'!$E$48</f>
        <v>#DIV/0!</v>
      </c>
      <c r="I62" s="42" t="e">
        <f>'Year 6'!$E$48</f>
        <v>#DIV/0!</v>
      </c>
      <c r="J62" s="42" t="e">
        <f>'Year 7'!$E$48</f>
        <v>#DIV/0!</v>
      </c>
      <c r="K62" s="42" t="e">
        <f>'Year 8'!$E$48</f>
        <v>#DIV/0!</v>
      </c>
    </row>
    <row r="63" spans="1:11" x14ac:dyDescent="0.45">
      <c r="A63" s="40" t="s">
        <v>78</v>
      </c>
      <c r="B63" s="40" t="s">
        <v>90</v>
      </c>
      <c r="C63" s="40" t="s">
        <v>73</v>
      </c>
      <c r="D63" s="42" t="e">
        <f>'Year 1'!$F$48</f>
        <v>#DIV/0!</v>
      </c>
      <c r="E63" s="42" t="e">
        <f>'Year 2'!$F$48</f>
        <v>#DIV/0!</v>
      </c>
      <c r="F63" s="42" t="e">
        <f>'Year 3'!$F$48</f>
        <v>#DIV/0!</v>
      </c>
      <c r="G63" s="42" t="e">
        <f>'Year 4'!$F$48</f>
        <v>#DIV/0!</v>
      </c>
      <c r="H63" s="42" t="e">
        <f>'Year 5'!$F$48</f>
        <v>#DIV/0!</v>
      </c>
      <c r="I63" s="42" t="e">
        <f>'Year 6'!$F$48</f>
        <v>#DIV/0!</v>
      </c>
      <c r="J63" s="42" t="e">
        <f>'Year 7'!$F$48</f>
        <v>#DIV/0!</v>
      </c>
      <c r="K63" s="42" t="e">
        <f>'Year 8'!$F$48</f>
        <v>#DIV/0!</v>
      </c>
    </row>
    <row r="64" spans="1:11" x14ac:dyDescent="0.45">
      <c r="A64" s="40" t="s">
        <v>78</v>
      </c>
      <c r="B64" s="40" t="s">
        <v>90</v>
      </c>
      <c r="C64" s="40" t="s">
        <v>74</v>
      </c>
      <c r="D64" s="42" t="e">
        <f>'Year 1'!$G$48</f>
        <v>#DIV/0!</v>
      </c>
      <c r="E64" s="42" t="e">
        <f>'Year 2'!$G$48</f>
        <v>#DIV/0!</v>
      </c>
      <c r="F64" s="42" t="e">
        <f>'Year 3'!$G$48</f>
        <v>#DIV/0!</v>
      </c>
      <c r="G64" s="42" t="e">
        <f>'Year 4'!$G$48</f>
        <v>#DIV/0!</v>
      </c>
      <c r="H64" s="42" t="e">
        <f>'Year 5'!$G$48</f>
        <v>#DIV/0!</v>
      </c>
      <c r="I64" s="42" t="e">
        <f>'Year 6'!$G$48</f>
        <v>#DIV/0!</v>
      </c>
      <c r="J64" s="42" t="e">
        <f>'Year 7'!$G$48</f>
        <v>#DIV/0!</v>
      </c>
      <c r="K64" s="42" t="e">
        <f>'Year 8'!$G$48</f>
        <v>#DIV/0!</v>
      </c>
    </row>
    <row r="65" spans="1:11" x14ac:dyDescent="0.45">
      <c r="A65" s="40" t="s">
        <v>78</v>
      </c>
      <c r="B65" s="40" t="s">
        <v>90</v>
      </c>
      <c r="C65" s="40" t="s">
        <v>75</v>
      </c>
      <c r="D65" s="42" t="e">
        <f>'Year 1'!$H$48</f>
        <v>#DIV/0!</v>
      </c>
      <c r="E65" s="42" t="e">
        <f>'Year 2'!$H$48</f>
        <v>#DIV/0!</v>
      </c>
      <c r="F65" s="42" t="e">
        <f>'Year 3'!$H$48</f>
        <v>#DIV/0!</v>
      </c>
      <c r="G65" s="42" t="e">
        <f>'Year 4'!$H$48</f>
        <v>#DIV/0!</v>
      </c>
      <c r="H65" s="42" t="e">
        <f>'Year 5'!$H$48</f>
        <v>#DIV/0!</v>
      </c>
      <c r="I65" s="42" t="e">
        <f>'Year 6'!$H$48</f>
        <v>#DIV/0!</v>
      </c>
      <c r="J65" s="42" t="e">
        <f>'Year 7'!$H$48</f>
        <v>#DIV/0!</v>
      </c>
      <c r="K65" s="42" t="e">
        <f>'Year 8'!$H$48</f>
        <v>#DIV/0!</v>
      </c>
    </row>
    <row r="66" spans="1:11" x14ac:dyDescent="0.45">
      <c r="A66" s="40" t="s">
        <v>78</v>
      </c>
      <c r="B66" s="40" t="s">
        <v>90</v>
      </c>
      <c r="C66" s="40" t="s">
        <v>76</v>
      </c>
      <c r="D66" s="42" t="e">
        <f>'Year 1'!$I$48</f>
        <v>#DIV/0!</v>
      </c>
      <c r="E66" s="42" t="e">
        <f>'Year 2'!$I$48</f>
        <v>#DIV/0!</v>
      </c>
      <c r="F66" s="42" t="e">
        <f>'Year 3'!$I$48</f>
        <v>#DIV/0!</v>
      </c>
      <c r="G66" s="42" t="e">
        <f>'Year 4'!$I$48</f>
        <v>#DIV/0!</v>
      </c>
      <c r="H66" s="42" t="e">
        <f>'Year 5'!$I$48</f>
        <v>#DIV/0!</v>
      </c>
      <c r="I66" s="42" t="e">
        <f>'Year 6'!$I$48</f>
        <v>#DIV/0!</v>
      </c>
      <c r="J66" s="42" t="e">
        <f>'Year 7'!$I$48</f>
        <v>#DIV/0!</v>
      </c>
      <c r="K66" s="42" t="e">
        <f>'Year 8'!$I$48</f>
        <v>#DIV/0!</v>
      </c>
    </row>
    <row r="67" spans="1:11" x14ac:dyDescent="0.45">
      <c r="A67" s="40" t="s">
        <v>78</v>
      </c>
      <c r="B67" s="40" t="s">
        <v>90</v>
      </c>
      <c r="C67" s="40" t="s">
        <v>77</v>
      </c>
      <c r="D67" s="42" t="e">
        <f>'Year 1'!$J$48</f>
        <v>#DIV/0!</v>
      </c>
      <c r="E67" s="42" t="e">
        <f>'Year 2'!$J$48</f>
        <v>#DIV/0!</v>
      </c>
      <c r="F67" s="42" t="e">
        <f>'Year 3'!$J$48</f>
        <v>#DIV/0!</v>
      </c>
      <c r="G67" s="42" t="e">
        <f>'Year 4'!$J$48</f>
        <v>#DIV/0!</v>
      </c>
      <c r="H67" s="42" t="e">
        <f>'Year 5'!$J$48</f>
        <v>#DIV/0!</v>
      </c>
      <c r="I67" s="42" t="e">
        <f>'Year 6'!$J$48</f>
        <v>#DIV/0!</v>
      </c>
      <c r="J67" s="42" t="e">
        <f>'Year 7'!$J$48</f>
        <v>#DIV/0!</v>
      </c>
      <c r="K67" s="42" t="e">
        <f>'Year 8'!$J$48</f>
        <v>#DIV/0!</v>
      </c>
    </row>
    <row r="68" spans="1:11" x14ac:dyDescent="0.45">
      <c r="A68" s="40" t="s">
        <v>78</v>
      </c>
      <c r="B68" s="40" t="s">
        <v>37</v>
      </c>
      <c r="C68" s="40" t="s">
        <v>71</v>
      </c>
      <c r="D68" s="41" t="e">
        <f>'Year 1'!$D$46</f>
        <v>#DIV/0!</v>
      </c>
      <c r="E68" s="41" t="e">
        <f>'Year 2'!$D$46</f>
        <v>#DIV/0!</v>
      </c>
      <c r="F68" s="41" t="e">
        <f>'Year 3'!$D$46</f>
        <v>#DIV/0!</v>
      </c>
      <c r="G68" s="41" t="e">
        <f>'Year 4'!$D$46</f>
        <v>#DIV/0!</v>
      </c>
      <c r="H68" s="41" t="e">
        <f>'Year 5'!$D$46</f>
        <v>#DIV/0!</v>
      </c>
      <c r="I68" s="41" t="e">
        <f>'Year 6'!$D$46</f>
        <v>#DIV/0!</v>
      </c>
      <c r="J68" s="41" t="e">
        <f>'Year 7'!$D$46</f>
        <v>#DIV/0!</v>
      </c>
      <c r="K68" s="41" t="e">
        <f>'Year 8'!$D$46</f>
        <v>#DIV/0!</v>
      </c>
    </row>
    <row r="69" spans="1:11" x14ac:dyDescent="0.45">
      <c r="A69" s="40" t="s">
        <v>78</v>
      </c>
      <c r="B69" s="40" t="s">
        <v>37</v>
      </c>
      <c r="C69" s="40" t="s">
        <v>72</v>
      </c>
      <c r="D69" s="41" t="e">
        <f>'Year 1'!$E$46</f>
        <v>#DIV/0!</v>
      </c>
      <c r="E69" s="41" t="e">
        <f>'Year 2'!$E$46</f>
        <v>#DIV/0!</v>
      </c>
      <c r="F69" s="41" t="e">
        <f>'Year 3'!$E$46</f>
        <v>#DIV/0!</v>
      </c>
      <c r="G69" s="41" t="e">
        <f>'Year 4'!$E$46</f>
        <v>#DIV/0!</v>
      </c>
      <c r="H69" s="41" t="e">
        <f>'Year 5'!$E$46</f>
        <v>#DIV/0!</v>
      </c>
      <c r="I69" s="41" t="e">
        <f>'Year 6'!$E$46</f>
        <v>#DIV/0!</v>
      </c>
      <c r="J69" s="41" t="e">
        <f>'Year 7'!$E$46</f>
        <v>#DIV/0!</v>
      </c>
      <c r="K69" s="41" t="e">
        <f>'Year 8'!$E$46</f>
        <v>#DIV/0!</v>
      </c>
    </row>
    <row r="70" spans="1:11" x14ac:dyDescent="0.45">
      <c r="A70" s="40" t="s">
        <v>78</v>
      </c>
      <c r="B70" s="40" t="s">
        <v>37</v>
      </c>
      <c r="C70" s="40" t="s">
        <v>73</v>
      </c>
      <c r="D70" s="41" t="e">
        <f>'Year 1'!$F$46</f>
        <v>#DIV/0!</v>
      </c>
      <c r="E70" s="41" t="e">
        <f>'Year 2'!$F$46</f>
        <v>#DIV/0!</v>
      </c>
      <c r="F70" s="41" t="e">
        <f>'Year 3'!$F$46</f>
        <v>#DIV/0!</v>
      </c>
      <c r="G70" s="41" t="e">
        <f>'Year 4'!$F$46</f>
        <v>#DIV/0!</v>
      </c>
      <c r="H70" s="41" t="e">
        <f>'Year 5'!$F$46</f>
        <v>#DIV/0!</v>
      </c>
      <c r="I70" s="41" t="e">
        <f>'Year 6'!$F$46</f>
        <v>#DIV/0!</v>
      </c>
      <c r="J70" s="41" t="e">
        <f>'Year 7'!$F$46</f>
        <v>#DIV/0!</v>
      </c>
      <c r="K70" s="41" t="e">
        <f>'Year 8'!$F$46</f>
        <v>#DIV/0!</v>
      </c>
    </row>
    <row r="71" spans="1:11" x14ac:dyDescent="0.45">
      <c r="A71" s="40" t="s">
        <v>78</v>
      </c>
      <c r="B71" s="40" t="s">
        <v>37</v>
      </c>
      <c r="C71" s="40" t="s">
        <v>74</v>
      </c>
      <c r="D71" s="41" t="e">
        <f>'Year 1'!$G$46</f>
        <v>#DIV/0!</v>
      </c>
      <c r="E71" s="41" t="e">
        <f>'Year 2'!$G$46</f>
        <v>#DIV/0!</v>
      </c>
      <c r="F71" s="41" t="e">
        <f>'Year 3'!$G$46</f>
        <v>#DIV/0!</v>
      </c>
      <c r="G71" s="41" t="e">
        <f>'Year 4'!$G$46</f>
        <v>#DIV/0!</v>
      </c>
      <c r="H71" s="41" t="e">
        <f>'Year 5'!$G$46</f>
        <v>#DIV/0!</v>
      </c>
      <c r="I71" s="41" t="e">
        <f>'Year 6'!$G$46</f>
        <v>#DIV/0!</v>
      </c>
      <c r="J71" s="41" t="e">
        <f>'Year 7'!$G$46</f>
        <v>#DIV/0!</v>
      </c>
      <c r="K71" s="41" t="e">
        <f>'Year 8'!$G$46</f>
        <v>#DIV/0!</v>
      </c>
    </row>
    <row r="72" spans="1:11" x14ac:dyDescent="0.45">
      <c r="A72" s="40" t="s">
        <v>78</v>
      </c>
      <c r="B72" s="40" t="s">
        <v>37</v>
      </c>
      <c r="C72" s="40" t="s">
        <v>75</v>
      </c>
      <c r="D72" s="41" t="e">
        <f>'Year 1'!$H$46</f>
        <v>#DIV/0!</v>
      </c>
      <c r="E72" s="41" t="e">
        <f>'Year 2'!$H$46</f>
        <v>#DIV/0!</v>
      </c>
      <c r="F72" s="41" t="e">
        <f>'Year 3'!$H$46</f>
        <v>#DIV/0!</v>
      </c>
      <c r="G72" s="41" t="e">
        <f>'Year 4'!$H$46</f>
        <v>#DIV/0!</v>
      </c>
      <c r="H72" s="41" t="e">
        <f>'Year 5'!$H$46</f>
        <v>#DIV/0!</v>
      </c>
      <c r="I72" s="41" t="e">
        <f>'Year 6'!$H$46</f>
        <v>#DIV/0!</v>
      </c>
      <c r="J72" s="41" t="e">
        <f>'Year 7'!$H$46</f>
        <v>#DIV/0!</v>
      </c>
      <c r="K72" s="41" t="e">
        <f>'Year 8'!$H$46</f>
        <v>#DIV/0!</v>
      </c>
    </row>
    <row r="73" spans="1:11" x14ac:dyDescent="0.45">
      <c r="A73" s="40" t="s">
        <v>78</v>
      </c>
      <c r="B73" s="40" t="s">
        <v>37</v>
      </c>
      <c r="C73" s="40" t="s">
        <v>76</v>
      </c>
      <c r="D73" s="41" t="e">
        <f>'Year 1'!$I$46</f>
        <v>#DIV/0!</v>
      </c>
      <c r="E73" s="41" t="e">
        <f>'Year 2'!$I$46</f>
        <v>#DIV/0!</v>
      </c>
      <c r="F73" s="41" t="e">
        <f>'Year 3'!$I$46</f>
        <v>#DIV/0!</v>
      </c>
      <c r="G73" s="41" t="e">
        <f>'Year 4'!$I$46</f>
        <v>#DIV/0!</v>
      </c>
      <c r="H73" s="41" t="e">
        <f>'Year 5'!$I$46</f>
        <v>#DIV/0!</v>
      </c>
      <c r="I73" s="41" t="e">
        <f>'Year 6'!$I$46</f>
        <v>#DIV/0!</v>
      </c>
      <c r="J73" s="41" t="e">
        <f>'Year 7'!$I$46</f>
        <v>#DIV/0!</v>
      </c>
      <c r="K73" s="41" t="e">
        <f>'Year 8'!$I$46</f>
        <v>#DIV/0!</v>
      </c>
    </row>
    <row r="74" spans="1:11" hidden="1" x14ac:dyDescent="0.45">
      <c r="A74" s="40" t="s">
        <v>78</v>
      </c>
      <c r="B74" s="40" t="s">
        <v>37</v>
      </c>
      <c r="C74" s="40" t="s">
        <v>77</v>
      </c>
      <c r="D74" s="41" t="e">
        <f>'Year 1'!#REF!</f>
        <v>#REF!</v>
      </c>
      <c r="E74" s="41" t="e">
        <f>'Year 2'!#REF!</f>
        <v>#REF!</v>
      </c>
      <c r="F74" s="41" t="e">
        <f>'Year 3'!#REF!</f>
        <v>#REF!</v>
      </c>
      <c r="G74" s="41" t="e">
        <f>'Year 4'!#REF!</f>
        <v>#REF!</v>
      </c>
      <c r="H74" s="41" t="e">
        <f>'Year 5'!#REF!</f>
        <v>#REF!</v>
      </c>
      <c r="I74" s="41" t="e">
        <f>'Year 6'!#REF!</f>
        <v>#REF!</v>
      </c>
      <c r="J74" s="41" t="e">
        <f>'Year 7'!#REF!</f>
        <v>#REF!</v>
      </c>
      <c r="K74" s="41" t="e">
        <f>'Year 8'!#REF!</f>
        <v>#REF!</v>
      </c>
    </row>
    <row r="75" spans="1:11" x14ac:dyDescent="0.45">
      <c r="A75" s="40" t="s">
        <v>78</v>
      </c>
      <c r="B75" s="40" t="s">
        <v>37</v>
      </c>
      <c r="C75" s="40" t="s">
        <v>77</v>
      </c>
      <c r="D75" s="41" t="e">
        <f>'Year 1'!$J$46</f>
        <v>#DIV/0!</v>
      </c>
      <c r="E75" s="41" t="e">
        <f>'Year 2'!$J$46</f>
        <v>#DIV/0!</v>
      </c>
      <c r="F75" s="41" t="e">
        <f>'Year 3'!$J$46</f>
        <v>#DIV/0!</v>
      </c>
      <c r="G75" s="41" t="e">
        <f>'Year 4'!$J$46</f>
        <v>#DIV/0!</v>
      </c>
      <c r="H75" s="41" t="e">
        <f>'Year 5'!$J$46</f>
        <v>#DIV/0!</v>
      </c>
      <c r="I75" s="41" t="e">
        <f>'Year 6'!$J$46</f>
        <v>#DIV/0!</v>
      </c>
      <c r="J75" s="41" t="e">
        <f>'Year 7'!$J$46</f>
        <v>#DIV/0!</v>
      </c>
      <c r="K75" s="41" t="e">
        <f>'Year 8'!$J$46</f>
        <v>#DIV/0!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2454-2613-4D35-BB73-6319EF2CF3CC}">
  <dimension ref="B1:M61"/>
  <sheetViews>
    <sheetView showGridLines="0" topLeftCell="A24" workbookViewId="0">
      <selection activeCell="K24" sqref="K1:K1048576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ref="I58" si="19">I53+I55-I54</f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H59" si="20">SUM(E39:E40)</f>
        <v>0</v>
      </c>
      <c r="F59" s="25">
        <f t="shared" si="20"/>
        <v>0</v>
      </c>
      <c r="G59" s="25">
        <f t="shared" si="20"/>
        <v>0</v>
      </c>
      <c r="H59" s="25">
        <f t="shared" si="20"/>
        <v>0</v>
      </c>
      <c r="I59" s="25">
        <f t="shared" ref="I59" si="21">SUM(I39:I40)</f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2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2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2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3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7" priority="2" operator="lessThan">
      <formula>1</formula>
    </cfRule>
  </conditionalFormatting>
  <conditionalFormatting sqref="D53:J53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3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3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3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4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4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J37 D37:H37" formulaRange="1"/>
    <ignoredError sqref="I50" formula="1"/>
    <ignoredError sqref="I37" formula="1" formulaRange="1"/>
    <ignoredError sqref="D57:J57" evalError="1"/>
    <ignoredError sqref="D56:J56" evalError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9569-2206-469F-B9FF-D9E6561F7CC4}">
  <dimension ref="B1:M61"/>
  <sheetViews>
    <sheetView showGridLines="0" topLeftCell="A13" workbookViewId="0">
      <selection activeCell="K13" sqref="K1:K1048576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si="18"/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I59" si="19">SUM(E39:E40)</f>
        <v>0</v>
      </c>
      <c r="F59" s="25">
        <f t="shared" si="19"/>
        <v>0</v>
      </c>
      <c r="G59" s="25">
        <f t="shared" si="19"/>
        <v>0</v>
      </c>
      <c r="H59" s="25">
        <f t="shared" si="19"/>
        <v>0</v>
      </c>
      <c r="I59" s="25">
        <f t="shared" si="19"/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4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4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4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5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5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6" priority="2" operator="lessThan">
      <formula>1</formula>
    </cfRule>
  </conditionalFormatting>
  <conditionalFormatting sqref="D53:J53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5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5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5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6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6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4EEC-D6B4-4D3C-903B-EE4CE17E2E96}">
  <dimension ref="B1:M61"/>
  <sheetViews>
    <sheetView showGridLines="0" topLeftCell="A13" workbookViewId="0">
      <selection activeCell="K13" sqref="K1:K1048576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si="18"/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I59" si="19">SUM(E39:E40)</f>
        <v>0</v>
      </c>
      <c r="F59" s="25">
        <f t="shared" si="19"/>
        <v>0</v>
      </c>
      <c r="G59" s="25">
        <f t="shared" si="19"/>
        <v>0</v>
      </c>
      <c r="H59" s="25">
        <f t="shared" si="19"/>
        <v>0</v>
      </c>
      <c r="I59" s="25">
        <f t="shared" si="19"/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6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6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6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6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6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6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6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7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7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7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5" priority="2" operator="lessThan">
      <formula>1</formula>
    </cfRule>
  </conditionalFormatting>
  <conditionalFormatting sqref="D53:J53">
    <cfRule type="colorScale" priority="7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7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7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7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8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8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8595-BAE9-4369-9F21-AB1AB2D0D947}">
  <dimension ref="B1:M61"/>
  <sheetViews>
    <sheetView showGridLines="0" topLeftCell="A13" workbookViewId="0">
      <selection activeCell="K13" sqref="K1:K1048576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si="18"/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I59" si="19">SUM(E39:E40)</f>
        <v>0</v>
      </c>
      <c r="F59" s="25">
        <f t="shared" si="19"/>
        <v>0</v>
      </c>
      <c r="G59" s="25">
        <f t="shared" si="19"/>
        <v>0</v>
      </c>
      <c r="H59" s="25">
        <f t="shared" si="19"/>
        <v>0</v>
      </c>
      <c r="I59" s="25">
        <f t="shared" si="19"/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8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8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8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8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8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8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8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9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9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9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4" priority="2" operator="lessThan">
      <formula>1</formula>
    </cfRule>
  </conditionalFormatting>
  <conditionalFormatting sqref="D53:J53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9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9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9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10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10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15B8-3FC8-4347-9465-233E3CE6EBBC}">
  <dimension ref="B1:M61"/>
  <sheetViews>
    <sheetView showGridLines="0" topLeftCell="A13" workbookViewId="0">
      <selection activeCell="K13" sqref="K1:K1048576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si="18"/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I59" si="19">SUM(E39:E40)</f>
        <v>0</v>
      </c>
      <c r="F59" s="25">
        <f t="shared" si="19"/>
        <v>0</v>
      </c>
      <c r="G59" s="25">
        <f t="shared" si="19"/>
        <v>0</v>
      </c>
      <c r="H59" s="25">
        <f t="shared" si="19"/>
        <v>0</v>
      </c>
      <c r="I59" s="25">
        <f t="shared" si="19"/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10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10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10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10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10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10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10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11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1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11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3" priority="2" operator="lessThan">
      <formula>1</formula>
    </cfRule>
  </conditionalFormatting>
  <conditionalFormatting sqref="D53:J53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11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11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12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12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D038-1D80-4F99-8EE8-D6CBE4BAA5A2}">
  <dimension ref="B1:M61"/>
  <sheetViews>
    <sheetView showGridLines="0" topLeftCell="A13" workbookViewId="0">
      <selection activeCell="K13" sqref="K1:K1048576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si="18"/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I59" si="19">SUM(E39:E40)</f>
        <v>0</v>
      </c>
      <c r="F59" s="25">
        <f t="shared" si="19"/>
        <v>0</v>
      </c>
      <c r="G59" s="25">
        <f t="shared" si="19"/>
        <v>0</v>
      </c>
      <c r="H59" s="25">
        <f t="shared" si="19"/>
        <v>0</v>
      </c>
      <c r="I59" s="25">
        <f t="shared" si="19"/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12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12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1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1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12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1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12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13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1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13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2" priority="2" operator="lessThan">
      <formula>1</formula>
    </cfRule>
  </conditionalFormatting>
  <conditionalFormatting sqref="D53:J53">
    <cfRule type="colorScale" priority="13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13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13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14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14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213F-6AB3-41A1-A636-6D57886AA0F9}">
  <dimension ref="B1:M61"/>
  <sheetViews>
    <sheetView showGridLines="0" topLeftCell="A13" workbookViewId="0">
      <selection activeCell="K13" sqref="K1:K1048576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si="18"/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I59" si="19">SUM(E39:E40)</f>
        <v>0</v>
      </c>
      <c r="F59" s="25">
        <f t="shared" si="19"/>
        <v>0</v>
      </c>
      <c r="G59" s="25">
        <f t="shared" si="19"/>
        <v>0</v>
      </c>
      <c r="H59" s="25">
        <f t="shared" si="19"/>
        <v>0</v>
      </c>
      <c r="I59" s="25">
        <f t="shared" si="19"/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14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14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1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14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14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1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14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14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15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1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15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1" priority="2" operator="lessThan">
      <formula>1</formula>
    </cfRule>
  </conditionalFormatting>
  <conditionalFormatting sqref="D53:J53">
    <cfRule type="colorScale" priority="15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5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15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15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16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16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4D6B-B417-4356-8BC3-BB054DDD010C}">
  <dimension ref="B1:M61"/>
  <sheetViews>
    <sheetView showGridLines="0" topLeftCell="A13" workbookViewId="0">
      <selection activeCell="O21" sqref="O21"/>
    </sheetView>
  </sheetViews>
  <sheetFormatPr defaultColWidth="8.796875" defaultRowHeight="14.25" x14ac:dyDescent="0.45"/>
  <cols>
    <col min="1" max="1" width="3.46484375" customWidth="1"/>
    <col min="2" max="2" width="19.1328125" style="1" customWidth="1"/>
    <col min="3" max="3" width="26.6640625" bestFit="1" customWidth="1"/>
    <col min="4" max="10" width="10.33203125" customWidth="1"/>
    <col min="11" max="13" width="3.46484375" customWidth="1"/>
  </cols>
  <sheetData>
    <row r="1" spans="2:11" ht="21" x14ac:dyDescent="0.65">
      <c r="B1" s="35"/>
      <c r="C1" s="31"/>
      <c r="D1" s="32"/>
      <c r="E1" s="32"/>
      <c r="F1" s="32"/>
      <c r="G1" s="32"/>
      <c r="H1" s="32"/>
      <c r="I1" s="32"/>
      <c r="J1" s="32"/>
    </row>
    <row r="2" spans="2:11" s="11" customFormat="1" ht="18.399999999999999" thickBot="1" x14ac:dyDescent="0.6">
      <c r="B2" s="33"/>
      <c r="C2" s="34"/>
      <c r="D2" s="55"/>
      <c r="E2" s="55"/>
      <c r="F2" s="55"/>
      <c r="G2" s="55"/>
      <c r="H2" s="55"/>
      <c r="I2" s="55"/>
      <c r="J2" s="55"/>
    </row>
    <row r="3" spans="2:11" s="1" customFormat="1" x14ac:dyDescent="0.45">
      <c r="B3" s="19" t="s">
        <v>2</v>
      </c>
      <c r="C3" s="20" t="s">
        <v>32</v>
      </c>
      <c r="D3" s="21" t="s">
        <v>64</v>
      </c>
      <c r="E3" s="21" t="s">
        <v>65</v>
      </c>
      <c r="F3" s="21" t="s">
        <v>66</v>
      </c>
      <c r="G3" s="21" t="s">
        <v>67</v>
      </c>
      <c r="H3" s="21" t="s">
        <v>68</v>
      </c>
      <c r="I3" s="21" t="s">
        <v>69</v>
      </c>
      <c r="J3" s="21" t="s">
        <v>70</v>
      </c>
      <c r="K3" s="3"/>
    </row>
    <row r="4" spans="2:11" s="1" customFormat="1" x14ac:dyDescent="0.45">
      <c r="B4" s="3"/>
      <c r="C4" s="49" t="s">
        <v>0</v>
      </c>
      <c r="D4" s="50"/>
      <c r="E4" s="50"/>
      <c r="F4" s="50"/>
      <c r="G4" s="50"/>
      <c r="H4" s="50"/>
      <c r="I4" s="50"/>
      <c r="J4" s="50"/>
      <c r="K4" s="3"/>
    </row>
    <row r="5" spans="2:11" x14ac:dyDescent="0.45">
      <c r="B5" s="3"/>
      <c r="C5" s="51" t="s">
        <v>3</v>
      </c>
      <c r="D5" s="50"/>
      <c r="E5" s="50"/>
      <c r="F5" s="50"/>
      <c r="G5" s="50"/>
      <c r="H5" s="50"/>
      <c r="I5" s="50"/>
      <c r="J5" s="50"/>
      <c r="K5" s="48"/>
    </row>
    <row r="6" spans="2:11" s="1" customFormat="1" x14ac:dyDescent="0.45">
      <c r="B6" s="3"/>
      <c r="C6" s="49" t="s">
        <v>4</v>
      </c>
      <c r="D6" s="50"/>
      <c r="E6" s="50"/>
      <c r="F6" s="50"/>
      <c r="G6" s="50"/>
      <c r="H6" s="50"/>
      <c r="I6" s="50"/>
      <c r="J6" s="50"/>
      <c r="K6" s="3"/>
    </row>
    <row r="7" spans="2:11" x14ac:dyDescent="0.45">
      <c r="B7" s="3"/>
      <c r="C7" s="51" t="s">
        <v>1</v>
      </c>
      <c r="D7" s="50"/>
      <c r="E7" s="50"/>
      <c r="F7" s="50"/>
      <c r="G7" s="50"/>
      <c r="H7" s="50"/>
      <c r="I7" s="50"/>
      <c r="J7" s="50"/>
      <c r="K7" s="48"/>
    </row>
    <row r="8" spans="2:11" x14ac:dyDescent="0.45">
      <c r="B8" s="3"/>
      <c r="C8" s="51" t="s">
        <v>5</v>
      </c>
      <c r="D8" s="50"/>
      <c r="E8" s="50"/>
      <c r="F8" s="50"/>
      <c r="G8" s="50"/>
      <c r="H8" s="50"/>
      <c r="I8" s="50"/>
      <c r="J8" s="50"/>
      <c r="K8" s="48"/>
    </row>
    <row r="9" spans="2:11" x14ac:dyDescent="0.45">
      <c r="B9" s="3"/>
      <c r="C9" s="51" t="s">
        <v>6</v>
      </c>
      <c r="D9" s="50"/>
      <c r="E9" s="50"/>
      <c r="F9" s="50"/>
      <c r="G9" s="50"/>
      <c r="H9" s="50"/>
      <c r="I9" s="50"/>
      <c r="J9" s="50"/>
      <c r="K9" s="48"/>
    </row>
    <row r="10" spans="2:11" s="1" customFormat="1" x14ac:dyDescent="0.45">
      <c r="B10" s="3"/>
      <c r="C10" s="49" t="s">
        <v>7</v>
      </c>
      <c r="D10" s="50"/>
      <c r="E10" s="50"/>
      <c r="F10" s="50"/>
      <c r="G10" s="50"/>
      <c r="H10" s="50"/>
      <c r="I10" s="50"/>
      <c r="J10" s="50"/>
      <c r="K10" s="3"/>
    </row>
    <row r="11" spans="2:11" x14ac:dyDescent="0.45">
      <c r="B11" s="3"/>
      <c r="C11" s="51" t="s">
        <v>8</v>
      </c>
      <c r="D11" s="50"/>
      <c r="E11" s="50"/>
      <c r="F11" s="50"/>
      <c r="G11" s="50"/>
      <c r="H11" s="50"/>
      <c r="I11" s="50"/>
      <c r="J11" s="50"/>
      <c r="K11" s="48"/>
    </row>
    <row r="12" spans="2:11" x14ac:dyDescent="0.45">
      <c r="B12" s="3"/>
      <c r="C12" s="51" t="s">
        <v>9</v>
      </c>
      <c r="D12" s="50"/>
      <c r="E12" s="50"/>
      <c r="F12" s="50"/>
      <c r="G12" s="50"/>
      <c r="H12" s="50"/>
      <c r="I12" s="50"/>
      <c r="J12" s="50"/>
      <c r="K12" s="48"/>
    </row>
    <row r="13" spans="2:11" x14ac:dyDescent="0.45">
      <c r="B13" s="3"/>
      <c r="C13" s="51" t="s">
        <v>10</v>
      </c>
      <c r="D13" s="50"/>
      <c r="E13" s="50"/>
      <c r="F13" s="50"/>
      <c r="G13" s="50"/>
      <c r="H13" s="50"/>
      <c r="I13" s="50"/>
      <c r="J13" s="50"/>
      <c r="K13" s="48"/>
    </row>
    <row r="14" spans="2:11" x14ac:dyDescent="0.45">
      <c r="B14" s="3"/>
      <c r="C14" s="51" t="s">
        <v>11</v>
      </c>
      <c r="D14" s="50"/>
      <c r="E14" s="50"/>
      <c r="F14" s="50"/>
      <c r="G14" s="50"/>
      <c r="H14" s="50"/>
      <c r="I14" s="50"/>
      <c r="J14" s="50"/>
      <c r="K14" s="48"/>
    </row>
    <row r="15" spans="2:11" x14ac:dyDescent="0.45">
      <c r="B15" s="3"/>
      <c r="C15" s="51" t="s">
        <v>12</v>
      </c>
      <c r="D15" s="50"/>
      <c r="E15" s="50"/>
      <c r="F15" s="50"/>
      <c r="G15" s="50"/>
      <c r="H15" s="50"/>
      <c r="I15" s="50"/>
      <c r="J15" s="50"/>
      <c r="K15" s="48"/>
    </row>
    <row r="16" spans="2:11" s="1" customFormat="1" x14ac:dyDescent="0.45">
      <c r="B16" s="3"/>
      <c r="C16" s="49" t="s">
        <v>13</v>
      </c>
      <c r="D16" s="50"/>
      <c r="E16" s="50"/>
      <c r="F16" s="50"/>
      <c r="G16" s="50"/>
      <c r="H16" s="50"/>
      <c r="I16" s="50"/>
      <c r="J16" s="50"/>
      <c r="K16" s="3"/>
    </row>
    <row r="17" spans="2:13" ht="14.65" thickBot="1" x14ac:dyDescent="0.5">
      <c r="B17" s="6"/>
      <c r="C17" s="4" t="s">
        <v>63</v>
      </c>
      <c r="D17" s="36"/>
      <c r="E17" s="36"/>
      <c r="F17" s="36"/>
      <c r="G17" s="36"/>
      <c r="H17" s="36"/>
      <c r="I17" s="36"/>
      <c r="J17" s="36"/>
      <c r="K17" s="48"/>
    </row>
    <row r="18" spans="2:13" s="1" customFormat="1" x14ac:dyDescent="0.45">
      <c r="B18" s="19" t="s">
        <v>14</v>
      </c>
      <c r="C18" s="20" t="s">
        <v>32</v>
      </c>
      <c r="D18" s="21" t="s">
        <v>64</v>
      </c>
      <c r="E18" s="21" t="s">
        <v>65</v>
      </c>
      <c r="F18" s="21" t="s">
        <v>66</v>
      </c>
      <c r="G18" s="21" t="s">
        <v>67</v>
      </c>
      <c r="H18" s="21" t="s">
        <v>68</v>
      </c>
      <c r="I18" s="21" t="s">
        <v>69</v>
      </c>
      <c r="J18" s="21" t="s">
        <v>70</v>
      </c>
      <c r="K18" s="48"/>
      <c r="M18"/>
    </row>
    <row r="19" spans="2:13" x14ac:dyDescent="0.45">
      <c r="B19" s="27" t="s">
        <v>15</v>
      </c>
      <c r="C19" s="51" t="s">
        <v>17</v>
      </c>
      <c r="D19" s="50"/>
      <c r="E19" s="50"/>
      <c r="F19" s="50"/>
      <c r="G19" s="50"/>
      <c r="H19" s="50"/>
      <c r="I19" s="50"/>
      <c r="J19" s="50"/>
      <c r="K19" s="48"/>
    </row>
    <row r="20" spans="2:13" x14ac:dyDescent="0.45">
      <c r="B20" s="10"/>
      <c r="C20" s="52" t="s">
        <v>54</v>
      </c>
      <c r="D20" s="53"/>
      <c r="E20" s="53"/>
      <c r="F20" s="50"/>
      <c r="G20" s="50"/>
      <c r="H20" s="53"/>
      <c r="I20" s="53"/>
      <c r="J20" s="53"/>
      <c r="K20" s="48"/>
    </row>
    <row r="21" spans="2:13" x14ac:dyDescent="0.45">
      <c r="B21" s="3"/>
      <c r="C21" s="51" t="s">
        <v>19</v>
      </c>
      <c r="D21" s="50"/>
      <c r="E21" s="50"/>
      <c r="F21" s="50"/>
      <c r="G21" s="50"/>
      <c r="H21" s="50"/>
      <c r="I21" s="50"/>
      <c r="J21" s="50"/>
      <c r="K21" s="48"/>
    </row>
    <row r="22" spans="2:13" x14ac:dyDescent="0.45">
      <c r="B22" s="3"/>
      <c r="C22" s="51" t="s">
        <v>21</v>
      </c>
      <c r="D22" s="50"/>
      <c r="E22" s="50"/>
      <c r="F22" s="50"/>
      <c r="G22" s="50"/>
      <c r="H22" s="50"/>
      <c r="I22" s="50"/>
      <c r="J22" s="50"/>
      <c r="K22" s="48"/>
    </row>
    <row r="23" spans="2:13" x14ac:dyDescent="0.45">
      <c r="B23" s="3"/>
      <c r="C23" s="51" t="s">
        <v>23</v>
      </c>
      <c r="D23" s="50"/>
      <c r="E23" s="50"/>
      <c r="F23" s="50"/>
      <c r="G23" s="50"/>
      <c r="H23" s="50"/>
      <c r="I23" s="50"/>
      <c r="J23" s="50"/>
      <c r="K23" s="48"/>
    </row>
    <row r="24" spans="2:13" x14ac:dyDescent="0.45">
      <c r="B24" s="3"/>
      <c r="C24" s="51" t="s">
        <v>25</v>
      </c>
      <c r="D24" s="50"/>
      <c r="E24" s="50"/>
      <c r="F24" s="50"/>
      <c r="G24" s="50"/>
      <c r="H24" s="50"/>
      <c r="I24" s="50"/>
      <c r="J24" s="50"/>
      <c r="K24" s="48"/>
    </row>
    <row r="25" spans="2:13" s="1" customFormat="1" x14ac:dyDescent="0.45">
      <c r="B25" s="5"/>
      <c r="C25" s="12" t="s">
        <v>31</v>
      </c>
      <c r="D25" s="22"/>
      <c r="E25" s="22"/>
      <c r="F25" s="22"/>
      <c r="G25" s="22"/>
      <c r="H25" s="22"/>
      <c r="I25" s="22"/>
      <c r="J25" s="22"/>
      <c r="K25" s="3"/>
    </row>
    <row r="26" spans="2:13" x14ac:dyDescent="0.45">
      <c r="B26" s="27" t="s">
        <v>16</v>
      </c>
      <c r="C26" s="51" t="s">
        <v>18</v>
      </c>
      <c r="D26" s="50"/>
      <c r="E26" s="50"/>
      <c r="F26" s="50"/>
      <c r="G26" s="50"/>
      <c r="H26" s="50"/>
      <c r="I26" s="50"/>
      <c r="J26" s="50"/>
      <c r="K26" s="48"/>
    </row>
    <row r="27" spans="2:13" x14ac:dyDescent="0.45">
      <c r="B27" s="3"/>
      <c r="C27" s="51" t="s">
        <v>20</v>
      </c>
      <c r="D27" s="50"/>
      <c r="E27" s="50"/>
      <c r="F27" s="50"/>
      <c r="G27" s="50"/>
      <c r="H27" s="50"/>
      <c r="I27" s="50"/>
      <c r="J27" s="50"/>
      <c r="K27" s="48"/>
    </row>
    <row r="28" spans="2:13" x14ac:dyDescent="0.45">
      <c r="B28" s="3"/>
      <c r="C28" s="51" t="s">
        <v>22</v>
      </c>
      <c r="D28" s="50"/>
      <c r="E28" s="50"/>
      <c r="F28" s="50"/>
      <c r="G28" s="50"/>
      <c r="H28" s="50"/>
      <c r="I28" s="50"/>
      <c r="J28" s="50"/>
      <c r="K28" s="48"/>
    </row>
    <row r="29" spans="2:13" s="1" customFormat="1" x14ac:dyDescent="0.45">
      <c r="B29" s="5"/>
      <c r="C29" s="2" t="s">
        <v>24</v>
      </c>
      <c r="D29" s="39"/>
      <c r="E29" s="39"/>
      <c r="F29" s="39"/>
      <c r="G29" s="39"/>
      <c r="H29" s="39"/>
      <c r="I29" s="39"/>
      <c r="J29" s="39"/>
      <c r="K29" s="3"/>
    </row>
    <row r="30" spans="2:13" x14ac:dyDescent="0.45">
      <c r="B30" s="27" t="s">
        <v>26</v>
      </c>
      <c r="C30" s="51" t="s">
        <v>27</v>
      </c>
      <c r="D30" s="50"/>
      <c r="E30" s="50"/>
      <c r="F30" s="50"/>
      <c r="G30" s="50"/>
      <c r="H30" s="50"/>
      <c r="I30" s="50"/>
      <c r="J30" s="50"/>
      <c r="K30" s="48"/>
    </row>
    <row r="31" spans="2:13" x14ac:dyDescent="0.45">
      <c r="B31" s="3"/>
      <c r="C31" s="54" t="s">
        <v>97</v>
      </c>
      <c r="D31" s="50"/>
      <c r="E31" s="50"/>
      <c r="F31" s="50"/>
      <c r="G31" s="50"/>
      <c r="H31" s="50"/>
      <c r="I31" s="50"/>
      <c r="J31" s="50"/>
      <c r="K31" s="48"/>
    </row>
    <row r="32" spans="2:13" x14ac:dyDescent="0.45">
      <c r="B32" s="3"/>
      <c r="C32" s="51" t="s">
        <v>28</v>
      </c>
      <c r="D32" s="50"/>
      <c r="E32" s="50"/>
      <c r="F32" s="50"/>
      <c r="G32" s="50"/>
      <c r="H32" s="50"/>
      <c r="I32" s="50"/>
      <c r="J32" s="50"/>
      <c r="K32" s="48"/>
    </row>
    <row r="33" spans="2:13" x14ac:dyDescent="0.45">
      <c r="B33" s="3"/>
      <c r="C33" s="51" t="s">
        <v>29</v>
      </c>
      <c r="D33" s="50"/>
      <c r="E33" s="50"/>
      <c r="F33" s="50"/>
      <c r="G33" s="50"/>
      <c r="H33" s="50"/>
      <c r="I33" s="50"/>
      <c r="J33" s="50"/>
      <c r="K33" s="48"/>
    </row>
    <row r="34" spans="2:13" s="1" customFormat="1" x14ac:dyDescent="0.45">
      <c r="B34" s="5"/>
      <c r="C34" s="2" t="s">
        <v>30</v>
      </c>
      <c r="D34" s="39"/>
      <c r="E34" s="39"/>
      <c r="F34" s="39"/>
      <c r="G34" s="39"/>
      <c r="H34" s="39"/>
      <c r="I34" s="39"/>
      <c r="J34" s="39"/>
      <c r="K34" s="3"/>
    </row>
    <row r="35" spans="2:13" s="1" customFormat="1" x14ac:dyDescent="0.45">
      <c r="B35" s="28" t="s">
        <v>62</v>
      </c>
      <c r="C35" s="52" t="s">
        <v>55</v>
      </c>
      <c r="D35" s="50"/>
      <c r="E35" s="50"/>
      <c r="F35" s="50"/>
      <c r="G35" s="50"/>
      <c r="H35" s="50"/>
      <c r="I35" s="50"/>
      <c r="J35" s="50"/>
      <c r="K35" s="3"/>
    </row>
    <row r="36" spans="2:13" s="1" customFormat="1" x14ac:dyDescent="0.45">
      <c r="B36" s="3"/>
      <c r="C36" s="52" t="s">
        <v>56</v>
      </c>
      <c r="D36" s="50"/>
      <c r="E36" s="50"/>
      <c r="F36" s="50"/>
      <c r="G36" s="50"/>
      <c r="H36" s="50"/>
      <c r="I36" s="50"/>
      <c r="J36" s="50"/>
      <c r="K36" s="3"/>
    </row>
    <row r="37" spans="2:13" s="1" customFormat="1" ht="14.65" thickBot="1" x14ac:dyDescent="0.5">
      <c r="B37" s="6"/>
      <c r="C37" s="37" t="s">
        <v>96</v>
      </c>
      <c r="D37" s="38">
        <f>SUM(D35:D36)/2</f>
        <v>0</v>
      </c>
      <c r="E37" s="38">
        <f t="shared" ref="E37:H37" si="0">SUM(E35:E36)/2</f>
        <v>0</v>
      </c>
      <c r="F37" s="38">
        <f t="shared" si="0"/>
        <v>0</v>
      </c>
      <c r="G37" s="38">
        <f t="shared" si="0"/>
        <v>0</v>
      </c>
      <c r="H37" s="38">
        <f t="shared" si="0"/>
        <v>0</v>
      </c>
      <c r="I37" s="38">
        <f t="shared" ref="I37" si="1">SUM(I35:I36)/2</f>
        <v>0</v>
      </c>
      <c r="J37" s="38">
        <f>SUM(J35:J36)/2</f>
        <v>0</v>
      </c>
      <c r="K37" s="3"/>
    </row>
    <row r="38" spans="2:13" s="1" customFormat="1" x14ac:dyDescent="0.45">
      <c r="B38" s="19" t="s">
        <v>57</v>
      </c>
      <c r="C38" s="20" t="s">
        <v>32</v>
      </c>
      <c r="D38" s="21" t="s">
        <v>64</v>
      </c>
      <c r="E38" s="21" t="s">
        <v>65</v>
      </c>
      <c r="F38" s="21" t="s">
        <v>66</v>
      </c>
      <c r="G38" s="21" t="s">
        <v>67</v>
      </c>
      <c r="H38" s="21" t="s">
        <v>68</v>
      </c>
      <c r="I38" s="21" t="s">
        <v>69</v>
      </c>
      <c r="J38" s="21" t="s">
        <v>70</v>
      </c>
      <c r="K38" s="48"/>
      <c r="M38"/>
    </row>
    <row r="39" spans="2:13" s="1" customFormat="1" x14ac:dyDescent="0.45">
      <c r="B39" s="3"/>
      <c r="C39" s="52" t="s">
        <v>58</v>
      </c>
      <c r="D39" s="50"/>
      <c r="E39" s="50"/>
      <c r="F39" s="50"/>
      <c r="G39" s="50"/>
      <c r="H39" s="50"/>
      <c r="I39" s="50"/>
      <c r="J39" s="50"/>
      <c r="K39" s="3"/>
    </row>
    <row r="40" spans="2:13" s="1" customFormat="1" ht="14.55" customHeight="1" thickBot="1" x14ac:dyDescent="0.5">
      <c r="B40" s="6"/>
      <c r="C40" s="26" t="s">
        <v>59</v>
      </c>
      <c r="D40" s="36"/>
      <c r="E40" s="36"/>
      <c r="F40" s="36"/>
      <c r="G40" s="36"/>
      <c r="H40" s="36"/>
      <c r="I40" s="36"/>
      <c r="J40" s="36"/>
      <c r="K40" s="3"/>
    </row>
    <row r="41" spans="2:13" x14ac:dyDescent="0.45">
      <c r="B41" s="19" t="s">
        <v>53</v>
      </c>
      <c r="C41" s="29"/>
      <c r="D41" s="21" t="s">
        <v>64</v>
      </c>
      <c r="E41" s="21" t="s">
        <v>65</v>
      </c>
      <c r="F41" s="21" t="s">
        <v>66</v>
      </c>
      <c r="G41" s="21" t="s">
        <v>67</v>
      </c>
      <c r="H41" s="21" t="s">
        <v>68</v>
      </c>
      <c r="I41" s="21" t="s">
        <v>69</v>
      </c>
      <c r="J41" s="21" t="s">
        <v>70</v>
      </c>
      <c r="K41" s="48"/>
    </row>
    <row r="42" spans="2:13" x14ac:dyDescent="0.45">
      <c r="B42" s="28" t="s">
        <v>49</v>
      </c>
      <c r="C42" s="52" t="s">
        <v>33</v>
      </c>
      <c r="D42" s="13" t="e">
        <f t="shared" ref="D42:J42" si="2">D6/D4</f>
        <v>#DIV/0!</v>
      </c>
      <c r="E42" s="13" t="e">
        <f t="shared" si="2"/>
        <v>#DIV/0!</v>
      </c>
      <c r="F42" s="13" t="e">
        <f t="shared" si="2"/>
        <v>#DIV/0!</v>
      </c>
      <c r="G42" s="13" t="e">
        <f t="shared" si="2"/>
        <v>#DIV/0!</v>
      </c>
      <c r="H42" s="13" t="e">
        <f t="shared" si="2"/>
        <v>#DIV/0!</v>
      </c>
      <c r="I42" s="13" t="e">
        <f t="shared" si="2"/>
        <v>#DIV/0!</v>
      </c>
      <c r="J42" s="13" t="e">
        <f t="shared" si="2"/>
        <v>#DIV/0!</v>
      </c>
      <c r="K42" s="48"/>
    </row>
    <row r="43" spans="2:13" x14ac:dyDescent="0.45">
      <c r="B43" s="3"/>
      <c r="C43" s="52" t="s">
        <v>34</v>
      </c>
      <c r="D43" s="13" t="e">
        <f t="shared" ref="D43:J43" si="3">D10/D4</f>
        <v>#DIV/0!</v>
      </c>
      <c r="E43" s="13" t="e">
        <f t="shared" si="3"/>
        <v>#DIV/0!</v>
      </c>
      <c r="F43" s="13" t="e">
        <f t="shared" si="3"/>
        <v>#DIV/0!</v>
      </c>
      <c r="G43" s="13" t="e">
        <f t="shared" si="3"/>
        <v>#DIV/0!</v>
      </c>
      <c r="H43" s="13" t="e">
        <f t="shared" si="3"/>
        <v>#DIV/0!</v>
      </c>
      <c r="I43" s="13" t="e">
        <f t="shared" si="3"/>
        <v>#DIV/0!</v>
      </c>
      <c r="J43" s="13" t="e">
        <f t="shared" si="3"/>
        <v>#DIV/0!</v>
      </c>
      <c r="K43" s="48"/>
    </row>
    <row r="44" spans="2:13" x14ac:dyDescent="0.45">
      <c r="B44" s="3"/>
      <c r="C44" s="52" t="s">
        <v>35</v>
      </c>
      <c r="D44" s="13" t="e">
        <f t="shared" ref="D44:J44" si="4">D16/D4</f>
        <v>#DIV/0!</v>
      </c>
      <c r="E44" s="13" t="e">
        <f t="shared" si="4"/>
        <v>#DIV/0!</v>
      </c>
      <c r="F44" s="13" t="e">
        <f t="shared" si="4"/>
        <v>#DIV/0!</v>
      </c>
      <c r="G44" s="13" t="e">
        <f t="shared" si="4"/>
        <v>#DIV/0!</v>
      </c>
      <c r="H44" s="13" t="e">
        <f t="shared" si="4"/>
        <v>#DIV/0!</v>
      </c>
      <c r="I44" s="13" t="e">
        <f t="shared" si="4"/>
        <v>#DIV/0!</v>
      </c>
      <c r="J44" s="13" t="e">
        <f t="shared" si="4"/>
        <v>#DIV/0!</v>
      </c>
      <c r="K44" s="48"/>
    </row>
    <row r="45" spans="2:13" x14ac:dyDescent="0.45">
      <c r="B45" s="3"/>
      <c r="C45" s="52" t="s">
        <v>36</v>
      </c>
      <c r="D45" s="13" t="e">
        <f t="shared" ref="D45:J45" si="5">D16/D25</f>
        <v>#DIV/0!</v>
      </c>
      <c r="E45" s="13" t="e">
        <f t="shared" si="5"/>
        <v>#DIV/0!</v>
      </c>
      <c r="F45" s="13" t="e">
        <f t="shared" si="5"/>
        <v>#DIV/0!</v>
      </c>
      <c r="G45" s="13" t="e">
        <f t="shared" si="5"/>
        <v>#DIV/0!</v>
      </c>
      <c r="H45" s="13" t="e">
        <f t="shared" si="5"/>
        <v>#DIV/0!</v>
      </c>
      <c r="I45" s="13" t="e">
        <f t="shared" si="5"/>
        <v>#DIV/0!</v>
      </c>
      <c r="J45" s="13" t="e">
        <f t="shared" si="5"/>
        <v>#DIV/0!</v>
      </c>
      <c r="K45" s="48"/>
    </row>
    <row r="46" spans="2:13" x14ac:dyDescent="0.45">
      <c r="B46" s="5"/>
      <c r="C46" s="8" t="s">
        <v>37</v>
      </c>
      <c r="D46" s="14" t="e">
        <f t="shared" ref="D46:J46" si="6">IF(D34&lt;0,"N/A",D16/D34)</f>
        <v>#DIV/0!</v>
      </c>
      <c r="E46" s="15" t="e">
        <f t="shared" si="6"/>
        <v>#DIV/0!</v>
      </c>
      <c r="F46" s="15" t="e">
        <f t="shared" si="6"/>
        <v>#DIV/0!</v>
      </c>
      <c r="G46" s="15" t="e">
        <f t="shared" si="6"/>
        <v>#DIV/0!</v>
      </c>
      <c r="H46" s="15" t="e">
        <f t="shared" si="6"/>
        <v>#DIV/0!</v>
      </c>
      <c r="I46" s="15" t="e">
        <f t="shared" si="6"/>
        <v>#DIV/0!</v>
      </c>
      <c r="J46" s="14" t="e">
        <f t="shared" si="6"/>
        <v>#DIV/0!</v>
      </c>
      <c r="K46" s="48"/>
    </row>
    <row r="47" spans="2:13" x14ac:dyDescent="0.45">
      <c r="B47" s="9" t="s">
        <v>50</v>
      </c>
      <c r="C47" s="7" t="s">
        <v>38</v>
      </c>
      <c r="D47" s="16" t="e">
        <f t="shared" ref="D47:J47" si="7">D29/D34</f>
        <v>#DIV/0!</v>
      </c>
      <c r="E47" s="16" t="e">
        <f t="shared" si="7"/>
        <v>#DIV/0!</v>
      </c>
      <c r="F47" s="16" t="e">
        <f t="shared" si="7"/>
        <v>#DIV/0!</v>
      </c>
      <c r="G47" s="16" t="e">
        <f t="shared" si="7"/>
        <v>#DIV/0!</v>
      </c>
      <c r="H47" s="16" t="e">
        <f t="shared" si="7"/>
        <v>#DIV/0!</v>
      </c>
      <c r="I47" s="16" t="e">
        <f t="shared" si="7"/>
        <v>#DIV/0!</v>
      </c>
      <c r="J47" s="16" t="e">
        <f t="shared" si="7"/>
        <v>#DIV/0!</v>
      </c>
      <c r="K47" s="48"/>
    </row>
    <row r="48" spans="2:13" x14ac:dyDescent="0.45">
      <c r="B48" s="3"/>
      <c r="C48" s="52" t="s">
        <v>90</v>
      </c>
      <c r="D48" s="18" t="e">
        <f t="shared" ref="D48:J48" si="8">D25/D34</f>
        <v>#DIV/0!</v>
      </c>
      <c r="E48" s="18" t="e">
        <f t="shared" si="8"/>
        <v>#DIV/0!</v>
      </c>
      <c r="F48" s="18" t="e">
        <f t="shared" si="8"/>
        <v>#DIV/0!</v>
      </c>
      <c r="G48" s="18" t="e">
        <f t="shared" si="8"/>
        <v>#DIV/0!</v>
      </c>
      <c r="H48" s="18" t="e">
        <f t="shared" si="8"/>
        <v>#DIV/0!</v>
      </c>
      <c r="I48" s="18" t="e">
        <f t="shared" si="8"/>
        <v>#DIV/0!</v>
      </c>
      <c r="J48" s="18" t="e">
        <f t="shared" si="8"/>
        <v>#DIV/0!</v>
      </c>
      <c r="K48" s="48"/>
    </row>
    <row r="49" spans="2:11" x14ac:dyDescent="0.45">
      <c r="B49" s="5"/>
      <c r="C49" s="8" t="s">
        <v>39</v>
      </c>
      <c r="D49" s="17" t="e">
        <f t="shared" ref="D49:J49" si="9">D10/ABS(D12)</f>
        <v>#DIV/0!</v>
      </c>
      <c r="E49" s="17" t="e">
        <f t="shared" si="9"/>
        <v>#DIV/0!</v>
      </c>
      <c r="F49" s="17" t="e">
        <f t="shared" si="9"/>
        <v>#DIV/0!</v>
      </c>
      <c r="G49" s="17" t="e">
        <f t="shared" si="9"/>
        <v>#DIV/0!</v>
      </c>
      <c r="H49" s="17" t="e">
        <f t="shared" si="9"/>
        <v>#DIV/0!</v>
      </c>
      <c r="I49" s="17" t="e">
        <f t="shared" si="9"/>
        <v>#DIV/0!</v>
      </c>
      <c r="J49" s="17" t="e">
        <f t="shared" si="9"/>
        <v>#DIV/0!</v>
      </c>
      <c r="K49" s="48"/>
    </row>
    <row r="50" spans="2:11" x14ac:dyDescent="0.45">
      <c r="B50" s="9" t="s">
        <v>51</v>
      </c>
      <c r="C50" s="7" t="s">
        <v>40</v>
      </c>
      <c r="D50" s="16" t="e">
        <f t="shared" ref="D50:J50" si="10">SUM(D19:D22)/SUM(D26:D27)</f>
        <v>#DIV/0!</v>
      </c>
      <c r="E50" s="16" t="e">
        <f t="shared" si="10"/>
        <v>#DIV/0!</v>
      </c>
      <c r="F50" s="16" t="e">
        <f t="shared" si="10"/>
        <v>#DIV/0!</v>
      </c>
      <c r="G50" s="16" t="e">
        <f t="shared" si="10"/>
        <v>#DIV/0!</v>
      </c>
      <c r="H50" s="16" t="e">
        <f t="shared" si="10"/>
        <v>#DIV/0!</v>
      </c>
      <c r="I50" s="16" t="e">
        <f t="shared" si="10"/>
        <v>#DIV/0!</v>
      </c>
      <c r="J50" s="16" t="e">
        <f t="shared" si="10"/>
        <v>#DIV/0!</v>
      </c>
      <c r="K50" s="48"/>
    </row>
    <row r="51" spans="2:11" x14ac:dyDescent="0.45">
      <c r="B51" s="5"/>
      <c r="C51" s="8" t="s">
        <v>41</v>
      </c>
      <c r="D51" s="17" t="e">
        <f t="shared" ref="D51:J51" si="11">SUM(D19:D21)/SUM(D26:D27)</f>
        <v>#DIV/0!</v>
      </c>
      <c r="E51" s="17" t="e">
        <f t="shared" si="11"/>
        <v>#DIV/0!</v>
      </c>
      <c r="F51" s="17" t="e">
        <f t="shared" si="11"/>
        <v>#DIV/0!</v>
      </c>
      <c r="G51" s="17" t="e">
        <f t="shared" si="11"/>
        <v>#DIV/0!</v>
      </c>
      <c r="H51" s="17" t="e">
        <f t="shared" si="11"/>
        <v>#DIV/0!</v>
      </c>
      <c r="I51" s="17" t="e">
        <f t="shared" si="11"/>
        <v>#DIV/0!</v>
      </c>
      <c r="J51" s="17" t="e">
        <f t="shared" si="11"/>
        <v>#DIV/0!</v>
      </c>
      <c r="K51" s="48"/>
    </row>
    <row r="52" spans="2:11" x14ac:dyDescent="0.45">
      <c r="B52" s="9" t="s">
        <v>52</v>
      </c>
      <c r="C52" s="7" t="s">
        <v>42</v>
      </c>
      <c r="D52" s="16" t="e">
        <f t="shared" ref="D52:J52" si="12">ABS(D5)/D37</f>
        <v>#DIV/0!</v>
      </c>
      <c r="E52" s="16" t="e">
        <f t="shared" si="12"/>
        <v>#DIV/0!</v>
      </c>
      <c r="F52" s="16" t="e">
        <f t="shared" si="12"/>
        <v>#DIV/0!</v>
      </c>
      <c r="G52" s="16" t="e">
        <f t="shared" si="12"/>
        <v>#DIV/0!</v>
      </c>
      <c r="H52" s="16" t="e">
        <f t="shared" si="12"/>
        <v>#DIV/0!</v>
      </c>
      <c r="I52" s="16" t="e">
        <f t="shared" si="12"/>
        <v>#DIV/0!</v>
      </c>
      <c r="J52" s="16" t="e">
        <f t="shared" si="12"/>
        <v>#DIV/0!</v>
      </c>
      <c r="K52" s="48"/>
    </row>
    <row r="53" spans="2:11" x14ac:dyDescent="0.45">
      <c r="B53" s="3"/>
      <c r="C53" s="52" t="s">
        <v>43</v>
      </c>
      <c r="D53" s="18" t="e">
        <f t="shared" ref="D53:J53" si="13">D37/(ABS(D5)/360)</f>
        <v>#DIV/0!</v>
      </c>
      <c r="E53" s="18" t="e">
        <f t="shared" si="13"/>
        <v>#DIV/0!</v>
      </c>
      <c r="F53" s="18" t="e">
        <f t="shared" si="13"/>
        <v>#DIV/0!</v>
      </c>
      <c r="G53" s="18" t="e">
        <f t="shared" si="13"/>
        <v>#DIV/0!</v>
      </c>
      <c r="H53" s="18" t="e">
        <f t="shared" si="13"/>
        <v>#DIV/0!</v>
      </c>
      <c r="I53" s="18" t="e">
        <f t="shared" si="13"/>
        <v>#DIV/0!</v>
      </c>
      <c r="J53" s="18" t="e">
        <f t="shared" si="13"/>
        <v>#DIV/0!</v>
      </c>
      <c r="K53" s="48"/>
    </row>
    <row r="54" spans="2:11" x14ac:dyDescent="0.45">
      <c r="B54" s="3"/>
      <c r="C54" s="52" t="s">
        <v>44</v>
      </c>
      <c r="D54" s="18" t="e">
        <f t="shared" ref="D54:J54" si="14">D26/(ABS(D5)/360)</f>
        <v>#DIV/0!</v>
      </c>
      <c r="E54" s="18" t="e">
        <f t="shared" si="14"/>
        <v>#DIV/0!</v>
      </c>
      <c r="F54" s="18" t="e">
        <f t="shared" si="14"/>
        <v>#DIV/0!</v>
      </c>
      <c r="G54" s="18" t="e">
        <f t="shared" si="14"/>
        <v>#DIV/0!</v>
      </c>
      <c r="H54" s="18" t="e">
        <f t="shared" si="14"/>
        <v>#DIV/0!</v>
      </c>
      <c r="I54" s="18" t="e">
        <f t="shared" si="14"/>
        <v>#DIV/0!</v>
      </c>
      <c r="J54" s="18" t="e">
        <f t="shared" si="14"/>
        <v>#DIV/0!</v>
      </c>
      <c r="K54" s="48"/>
    </row>
    <row r="55" spans="2:11" x14ac:dyDescent="0.45">
      <c r="B55" s="3"/>
      <c r="C55" s="52" t="s">
        <v>45</v>
      </c>
      <c r="D55" s="18" t="e">
        <f t="shared" ref="D55:J55" si="15">D21/(D4/360)</f>
        <v>#DIV/0!</v>
      </c>
      <c r="E55" s="18" t="e">
        <f t="shared" si="15"/>
        <v>#DIV/0!</v>
      </c>
      <c r="F55" s="18" t="e">
        <f t="shared" si="15"/>
        <v>#DIV/0!</v>
      </c>
      <c r="G55" s="18" t="e">
        <f t="shared" si="15"/>
        <v>#DIV/0!</v>
      </c>
      <c r="H55" s="18" t="e">
        <f t="shared" si="15"/>
        <v>#DIV/0!</v>
      </c>
      <c r="I55" s="18" t="e">
        <f t="shared" si="15"/>
        <v>#DIV/0!</v>
      </c>
      <c r="J55" s="18" t="e">
        <f t="shared" si="15"/>
        <v>#DIV/0!</v>
      </c>
      <c r="K55" s="48"/>
    </row>
    <row r="56" spans="2:11" x14ac:dyDescent="0.45">
      <c r="B56" s="3"/>
      <c r="C56" s="52" t="s">
        <v>46</v>
      </c>
      <c r="D56" s="18" t="e">
        <f t="shared" ref="D56:J56" si="16">D4/SUM(D23:D24)</f>
        <v>#DIV/0!</v>
      </c>
      <c r="E56" s="18" t="e">
        <f t="shared" si="16"/>
        <v>#DIV/0!</v>
      </c>
      <c r="F56" s="18" t="e">
        <f t="shared" si="16"/>
        <v>#DIV/0!</v>
      </c>
      <c r="G56" s="18" t="e">
        <f t="shared" si="16"/>
        <v>#DIV/0!</v>
      </c>
      <c r="H56" s="18" t="e">
        <f t="shared" si="16"/>
        <v>#DIV/0!</v>
      </c>
      <c r="I56" s="18" t="e">
        <f t="shared" si="16"/>
        <v>#DIV/0!</v>
      </c>
      <c r="J56" s="18" t="e">
        <f t="shared" si="16"/>
        <v>#DIV/0!</v>
      </c>
      <c r="K56" s="48"/>
    </row>
    <row r="57" spans="2:11" x14ac:dyDescent="0.45">
      <c r="B57" s="3"/>
      <c r="C57" s="52" t="s">
        <v>47</v>
      </c>
      <c r="D57" s="18" t="e">
        <f t="shared" ref="D57:J57" si="17">D4/D25</f>
        <v>#DIV/0!</v>
      </c>
      <c r="E57" s="18" t="e">
        <f t="shared" si="17"/>
        <v>#DIV/0!</v>
      </c>
      <c r="F57" s="18" t="e">
        <f t="shared" si="17"/>
        <v>#DIV/0!</v>
      </c>
      <c r="G57" s="18" t="e">
        <f t="shared" si="17"/>
        <v>#DIV/0!</v>
      </c>
      <c r="H57" s="18" t="e">
        <f t="shared" si="17"/>
        <v>#DIV/0!</v>
      </c>
      <c r="I57" s="18" t="e">
        <f t="shared" si="17"/>
        <v>#DIV/0!</v>
      </c>
      <c r="J57" s="18" t="e">
        <f t="shared" si="17"/>
        <v>#DIV/0!</v>
      </c>
      <c r="K57" s="48"/>
    </row>
    <row r="58" spans="2:11" x14ac:dyDescent="0.45">
      <c r="B58" s="3"/>
      <c r="C58" s="52" t="s">
        <v>48</v>
      </c>
      <c r="D58" s="18" t="e">
        <f>D53+D55-D54</f>
        <v>#DIV/0!</v>
      </c>
      <c r="E58" s="18" t="e">
        <f t="shared" ref="E58:J58" si="18">E53+E55-E54</f>
        <v>#DIV/0!</v>
      </c>
      <c r="F58" s="18" t="e">
        <f t="shared" si="18"/>
        <v>#DIV/0!</v>
      </c>
      <c r="G58" s="18" t="e">
        <f t="shared" si="18"/>
        <v>#DIV/0!</v>
      </c>
      <c r="H58" s="18" t="e">
        <f t="shared" si="18"/>
        <v>#DIV/0!</v>
      </c>
      <c r="I58" s="18" t="e">
        <f t="shared" si="18"/>
        <v>#DIV/0!</v>
      </c>
      <c r="J58" s="18" t="e">
        <f t="shared" si="18"/>
        <v>#DIV/0!</v>
      </c>
      <c r="K58" s="48"/>
    </row>
    <row r="59" spans="2:11" ht="14.65" thickBot="1" x14ac:dyDescent="0.5">
      <c r="B59" s="23" t="s">
        <v>61</v>
      </c>
      <c r="C59" s="24" t="s">
        <v>60</v>
      </c>
      <c r="D59" s="25">
        <f>SUM(D39:D40)</f>
        <v>0</v>
      </c>
      <c r="E59" s="25">
        <f t="shared" ref="E59:I59" si="19">SUM(E39:E40)</f>
        <v>0</v>
      </c>
      <c r="F59" s="25">
        <f t="shared" si="19"/>
        <v>0</v>
      </c>
      <c r="G59" s="25">
        <f t="shared" si="19"/>
        <v>0</v>
      </c>
      <c r="H59" s="25">
        <f t="shared" si="19"/>
        <v>0</v>
      </c>
      <c r="I59" s="25">
        <f t="shared" si="19"/>
        <v>0</v>
      </c>
      <c r="J59" s="25">
        <f>SUM(J39:J40)</f>
        <v>0</v>
      </c>
      <c r="K59" s="48"/>
    </row>
    <row r="61" spans="2:11" x14ac:dyDescent="0.45">
      <c r="D61" s="30"/>
      <c r="E61" s="30"/>
      <c r="F61" s="30"/>
      <c r="G61" s="30"/>
      <c r="H61" s="30"/>
      <c r="I61" s="30"/>
      <c r="J61" s="30"/>
    </row>
  </sheetData>
  <mergeCells count="1">
    <mergeCell ref="D2:J2"/>
  </mergeCells>
  <phoneticPr fontId="10" type="noConversion"/>
  <conditionalFormatting sqref="D4:J4">
    <cfRule type="colorScale" priority="162">
      <colorScale>
        <cfvo type="min"/>
        <cfvo type="max"/>
        <color rgb="FFFCFCFF"/>
        <color rgb="FF63BE7B"/>
      </colorScale>
    </cfRule>
  </conditionalFormatting>
  <conditionalFormatting sqref="D6:J6">
    <cfRule type="colorScale" priority="163">
      <colorScale>
        <cfvo type="min"/>
        <cfvo type="num" val="0"/>
        <cfvo type="max"/>
        <color rgb="FFFF0000"/>
        <color theme="0"/>
        <color rgb="FF63BE7B"/>
      </colorScale>
    </cfRule>
  </conditionalFormatting>
  <conditionalFormatting sqref="D10:J10">
    <cfRule type="colorScale" priority="16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16:J16">
    <cfRule type="colorScale" priority="16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25:J25">
    <cfRule type="colorScale" priority="166">
      <colorScale>
        <cfvo type="min"/>
        <cfvo type="max"/>
        <color rgb="FFFCFCFF"/>
        <color rgb="FF63BE7B"/>
      </colorScale>
    </cfRule>
  </conditionalFormatting>
  <conditionalFormatting sqref="D29:J29">
    <cfRule type="colorScale" priority="1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1:J32">
    <cfRule type="colorScale" priority="16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4:J34">
    <cfRule type="colorScale" priority="16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39:J39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2:J42">
    <cfRule type="colorScale" priority="171">
      <colorScale>
        <cfvo type="min"/>
        <cfvo type="max"/>
        <color rgb="FFFCFCFF"/>
        <color rgb="FF63BE7B"/>
      </colorScale>
    </cfRule>
  </conditionalFormatting>
  <conditionalFormatting sqref="D43:J43"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4:J44">
    <cfRule type="colorScale" priority="17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45:J45"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J46">
    <cfRule type="colorScale" priority="175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D49:J51">
    <cfRule type="cellIs" dxfId="0" priority="2" operator="lessThan">
      <formula>1</formula>
    </cfRule>
  </conditionalFormatting>
  <conditionalFormatting sqref="D53:J53">
    <cfRule type="colorScale" priority="17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77">
      <colorScale>
        <cfvo type="min"/>
        <cfvo type="max"/>
        <color rgb="FF63BE7B"/>
        <color rgb="FFFCFCFF"/>
      </colorScale>
    </cfRule>
  </conditionalFormatting>
  <conditionalFormatting sqref="D56:J56">
    <cfRule type="colorScale" priority="178">
      <colorScale>
        <cfvo type="min"/>
        <cfvo type="max"/>
        <color rgb="FFFCFCFF"/>
        <color rgb="FF63BE7B"/>
      </colorScale>
    </cfRule>
  </conditionalFormatting>
  <conditionalFormatting sqref="D57:J57">
    <cfRule type="colorScale" priority="179">
      <colorScale>
        <cfvo type="min"/>
        <cfvo type="max"/>
        <color rgb="FFFCFCFF"/>
        <color rgb="FF63BE7B"/>
      </colorScale>
    </cfRule>
  </conditionalFormatting>
  <conditionalFormatting sqref="D58:J58">
    <cfRule type="colorScale" priority="180">
      <colorScale>
        <cfvo type="min"/>
        <cfvo type="num" val="0"/>
        <cfvo type="max"/>
        <color rgb="FF63BE7B"/>
        <color theme="0"/>
        <color rgb="FFFF0000"/>
      </colorScale>
    </cfRule>
  </conditionalFormatting>
  <conditionalFormatting sqref="D59:J59">
    <cfRule type="colorScale" priority="18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Year 1</vt:lpstr>
      <vt:lpstr>Year 2</vt:lpstr>
      <vt:lpstr>Year 3</vt:lpstr>
      <vt:lpstr>Year 4</vt:lpstr>
      <vt:lpstr>Year 5</vt:lpstr>
      <vt:lpstr>Year 6</vt:lpstr>
      <vt:lpstr>Year 7</vt:lpstr>
      <vt:lpstr>Year 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danhk</dc:creator>
  <cp:keywords/>
  <dc:description/>
  <cp:lastModifiedBy>Jia, Zehua</cp:lastModifiedBy>
  <dcterms:created xsi:type="dcterms:W3CDTF">2022-10-08T21:24:06Z</dcterms:created>
  <dcterms:modified xsi:type="dcterms:W3CDTF">2026-03-01T19:56:12Z</dcterms:modified>
  <cp:category/>
</cp:coreProperties>
</file>